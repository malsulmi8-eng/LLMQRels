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lsu\Documents\Code\lucenesearch\resources\dataset\"/>
    </mc:Choice>
  </mc:AlternateContent>
  <xr:revisionPtr revIDLastSave="0" documentId="13_ncr:1_{05B211E7-6302-4C1F-B83C-45239A71C5DD}" xr6:coauthVersionLast="47" xr6:coauthVersionMax="47" xr10:uidLastSave="{00000000-0000-0000-0000-000000000000}"/>
  <bookViews>
    <workbookView xWindow="-120" yWindow="-120" windowWidth="24240" windowHeight="13020" activeTab="2" xr2:uid="{0F91ED6B-D082-4C13-9506-0FF7146C4ECD}"/>
  </bookViews>
  <sheets>
    <sheet name="2015 data" sheetId="1" r:id="rId1"/>
    <sheet name="2014 data" sheetId="3" r:id="rId2"/>
    <sheet name="LLM vs. Human" sheetId="4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Y6" i="3" l="1"/>
  <c r="AY7" i="3"/>
  <c r="AY8" i="3"/>
  <c r="AY9" i="3"/>
  <c r="AY10" i="3"/>
  <c r="AY11" i="3"/>
  <c r="AY12" i="3"/>
  <c r="AY13" i="3"/>
  <c r="AY14" i="3"/>
  <c r="AY15" i="3"/>
  <c r="AY16" i="3"/>
  <c r="AY17" i="3"/>
  <c r="AY18" i="3"/>
  <c r="AY19" i="3"/>
  <c r="AY20" i="3"/>
  <c r="AY21" i="3"/>
  <c r="AY22" i="3"/>
  <c r="AY23" i="3"/>
  <c r="AY24" i="3"/>
  <c r="AY25" i="3"/>
  <c r="AY26" i="3"/>
  <c r="AY27" i="3"/>
  <c r="AY28" i="3"/>
  <c r="AY29" i="3"/>
  <c r="AY30" i="3"/>
  <c r="AY31" i="3"/>
  <c r="AY32" i="3"/>
  <c r="AY33" i="3"/>
  <c r="AY34" i="3"/>
  <c r="AY35" i="3"/>
  <c r="AY5" i="3"/>
  <c r="AL35" i="3"/>
  <c r="AL6" i="3"/>
  <c r="AL7" i="3"/>
  <c r="AL8" i="3"/>
  <c r="AL9" i="3"/>
  <c r="AL10" i="3"/>
  <c r="AL11" i="3"/>
  <c r="AL12" i="3"/>
  <c r="AL13" i="3"/>
  <c r="AL14" i="3"/>
  <c r="AL15" i="3"/>
  <c r="AL16" i="3"/>
  <c r="AL17" i="3"/>
  <c r="AL18" i="3"/>
  <c r="AL19" i="3"/>
  <c r="AL20" i="3"/>
  <c r="AL21" i="3"/>
  <c r="AL22" i="3"/>
  <c r="AL23" i="3"/>
  <c r="AL24" i="3"/>
  <c r="AL25" i="3"/>
  <c r="AL26" i="3"/>
  <c r="AL27" i="3"/>
  <c r="AL28" i="3"/>
  <c r="AL29" i="3"/>
  <c r="AL30" i="3"/>
  <c r="AL31" i="3"/>
  <c r="AL32" i="3"/>
  <c r="AL33" i="3"/>
  <c r="AL34" i="3"/>
  <c r="AL5" i="3"/>
  <c r="L43" i="4"/>
  <c r="K43" i="4"/>
  <c r="J43" i="4"/>
  <c r="I43" i="4"/>
  <c r="H43" i="4"/>
  <c r="G43" i="4"/>
  <c r="F43" i="4"/>
  <c r="E43" i="4"/>
  <c r="D43" i="4"/>
  <c r="AY38" i="3"/>
  <c r="AT38" i="3"/>
  <c r="AY37" i="3"/>
  <c r="AT37" i="3"/>
  <c r="AP37" i="3"/>
  <c r="AX36" i="3"/>
  <c r="AW36" i="3"/>
  <c r="AV36" i="3"/>
  <c r="AU36" i="3"/>
  <c r="AT36" i="3"/>
  <c r="AS36" i="3"/>
  <c r="AR36" i="3"/>
  <c r="AQ36" i="3"/>
  <c r="AP36" i="3"/>
  <c r="AX35" i="3"/>
  <c r="AW35" i="3"/>
  <c r="AV35" i="3"/>
  <c r="AU35" i="3"/>
  <c r="AT35" i="3"/>
  <c r="AS35" i="3"/>
  <c r="AR35" i="3"/>
  <c r="AQ35" i="3"/>
  <c r="AP35" i="3"/>
  <c r="AG38" i="3"/>
  <c r="AL38" i="3"/>
  <c r="AG37" i="3"/>
  <c r="AC37" i="3"/>
  <c r="AL37" i="3"/>
  <c r="AD36" i="3"/>
  <c r="AE36" i="3"/>
  <c r="AF36" i="3"/>
  <c r="AG36" i="3"/>
  <c r="AH36" i="3"/>
  <c r="AI36" i="3"/>
  <c r="AJ36" i="3"/>
  <c r="AK36" i="3"/>
  <c r="AC36" i="3"/>
  <c r="AD35" i="3"/>
  <c r="AE35" i="3"/>
  <c r="AF35" i="3"/>
  <c r="AG35" i="3"/>
  <c r="AH35" i="3"/>
  <c r="AI35" i="3"/>
  <c r="AJ35" i="3"/>
  <c r="AK35" i="3"/>
  <c r="AC35" i="3"/>
  <c r="I26" i="1"/>
  <c r="AY25" i="1"/>
  <c r="AZ25" i="1"/>
  <c r="BA25" i="1"/>
  <c r="BA6" i="1"/>
  <c r="BA7" i="1"/>
  <c r="BA8" i="1"/>
  <c r="BA9" i="1"/>
  <c r="BA10" i="1"/>
  <c r="BA11" i="1"/>
  <c r="BA12" i="1"/>
  <c r="BA13" i="1"/>
  <c r="BA14" i="1"/>
  <c r="BA15" i="1"/>
  <c r="BA16" i="1"/>
  <c r="BA17" i="1"/>
  <c r="BA18" i="1"/>
  <c r="BA19" i="1"/>
  <c r="BA20" i="1"/>
  <c r="BA21" i="1"/>
  <c r="BA22" i="1"/>
  <c r="BA23" i="1"/>
  <c r="BA24" i="1"/>
  <c r="BA5" i="1"/>
  <c r="AL5" i="1"/>
  <c r="AV28" i="1"/>
  <c r="AV27" i="1"/>
  <c r="AS26" i="1"/>
  <c r="AT26" i="1"/>
  <c r="AU26" i="1"/>
  <c r="AV26" i="1"/>
  <c r="AW26" i="1"/>
  <c r="AX26" i="1"/>
  <c r="AY26" i="1"/>
  <c r="AZ26" i="1"/>
  <c r="AR26" i="1"/>
  <c r="AX25" i="1"/>
  <c r="AW25" i="1"/>
  <c r="AV25" i="1"/>
  <c r="AU25" i="1"/>
  <c r="AT25" i="1"/>
  <c r="AS25" i="1"/>
  <c r="AR25" i="1"/>
  <c r="T38" i="3"/>
  <c r="Y38" i="3"/>
  <c r="T37" i="3"/>
  <c r="Y37" i="3"/>
  <c r="Q36" i="3"/>
  <c r="R36" i="3"/>
  <c r="S36" i="3"/>
  <c r="T36" i="3"/>
  <c r="U36" i="3"/>
  <c r="V36" i="3"/>
  <c r="W36" i="3"/>
  <c r="X36" i="3"/>
  <c r="P36" i="3"/>
  <c r="G39" i="3"/>
  <c r="G37" i="3"/>
  <c r="L37" i="3"/>
  <c r="D36" i="3"/>
  <c r="E36" i="3"/>
  <c r="F36" i="3"/>
  <c r="G36" i="3"/>
  <c r="H36" i="3"/>
  <c r="I36" i="3"/>
  <c r="J36" i="3"/>
  <c r="K36" i="3"/>
  <c r="C36" i="3"/>
  <c r="AG28" i="1"/>
  <c r="AL28" i="1"/>
  <c r="AG27" i="1"/>
  <c r="AL27" i="1"/>
  <c r="AD26" i="1"/>
  <c r="AE26" i="1"/>
  <c r="AF26" i="1"/>
  <c r="AG26" i="1"/>
  <c r="AH26" i="1"/>
  <c r="AI26" i="1"/>
  <c r="AJ26" i="1"/>
  <c r="AK26" i="1"/>
  <c r="AC26" i="1"/>
  <c r="T28" i="1"/>
  <c r="Y28" i="1"/>
  <c r="T27" i="1"/>
  <c r="Y27" i="1"/>
  <c r="Q26" i="1"/>
  <c r="R26" i="1"/>
  <c r="S26" i="1"/>
  <c r="T26" i="1"/>
  <c r="U26" i="1"/>
  <c r="V26" i="1"/>
  <c r="W26" i="1"/>
  <c r="X26" i="1"/>
  <c r="P26" i="1"/>
  <c r="G28" i="1"/>
  <c r="G27" i="1"/>
  <c r="D26" i="1"/>
  <c r="E26" i="1"/>
  <c r="F26" i="1"/>
  <c r="G26" i="1"/>
  <c r="H26" i="1"/>
  <c r="J26" i="1"/>
  <c r="K26" i="1"/>
  <c r="L26" i="1"/>
  <c r="C26" i="1"/>
  <c r="C38" i="3"/>
  <c r="D31" i="1" s="1"/>
  <c r="C31" i="1"/>
  <c r="L30" i="4"/>
  <c r="M30" i="4"/>
  <c r="N30" i="4"/>
  <c r="K30" i="4"/>
  <c r="E15" i="4"/>
  <c r="F15" i="4"/>
  <c r="G15" i="4"/>
  <c r="D15" i="4"/>
  <c r="O22" i="4"/>
  <c r="O23" i="4"/>
  <c r="O24" i="4"/>
  <c r="O25" i="4"/>
  <c r="O26" i="4"/>
  <c r="O27" i="4"/>
  <c r="O28" i="4"/>
  <c r="O21" i="4"/>
  <c r="P29" i="4"/>
  <c r="N29" i="4"/>
  <c r="M29" i="4"/>
  <c r="L29" i="4"/>
  <c r="K29" i="4"/>
  <c r="Y14" i="4"/>
  <c r="X14" i="4"/>
  <c r="Z14" i="4" s="1"/>
  <c r="W14" i="4"/>
  <c r="V14" i="4"/>
  <c r="U14" i="4"/>
  <c r="T14" i="4"/>
  <c r="S14" i="4"/>
  <c r="R14" i="4"/>
  <c r="Q14" i="4"/>
  <c r="Z13" i="4"/>
  <c r="Z12" i="4"/>
  <c r="Z11" i="4"/>
  <c r="Z10" i="4"/>
  <c r="Z9" i="4"/>
  <c r="Z8" i="4"/>
  <c r="Z7" i="4"/>
  <c r="Z6" i="4"/>
  <c r="L14" i="4"/>
  <c r="K14" i="4"/>
  <c r="J14" i="4"/>
  <c r="I14" i="4"/>
  <c r="H14" i="4"/>
  <c r="G14" i="4"/>
  <c r="F14" i="4"/>
  <c r="E14" i="4"/>
  <c r="D14" i="4"/>
  <c r="M13" i="4"/>
  <c r="M12" i="4"/>
  <c r="M11" i="4"/>
  <c r="M10" i="4"/>
  <c r="M9" i="4"/>
  <c r="M8" i="4"/>
  <c r="M7" i="4"/>
  <c r="M6" i="4"/>
  <c r="Y6" i="3"/>
  <c r="Y7" i="3"/>
  <c r="Y8" i="3"/>
  <c r="Y9" i="3"/>
  <c r="Y10" i="3"/>
  <c r="Y11" i="3"/>
  <c r="Y12" i="3"/>
  <c r="Y13" i="3"/>
  <c r="Y14" i="3"/>
  <c r="Y15" i="3"/>
  <c r="Y16" i="3"/>
  <c r="Y17" i="3"/>
  <c r="Y18" i="3"/>
  <c r="Y19" i="3"/>
  <c r="Y20" i="3"/>
  <c r="Y21" i="3"/>
  <c r="Y22" i="3"/>
  <c r="Y23" i="3"/>
  <c r="Y24" i="3"/>
  <c r="Y25" i="3"/>
  <c r="Y26" i="3"/>
  <c r="Y27" i="3"/>
  <c r="Y28" i="3"/>
  <c r="Y29" i="3"/>
  <c r="Y30" i="3"/>
  <c r="Y31" i="3"/>
  <c r="Y32" i="3"/>
  <c r="Y33" i="3"/>
  <c r="Y34" i="3"/>
  <c r="Y5" i="3"/>
  <c r="L5" i="3"/>
  <c r="X35" i="3"/>
  <c r="W35" i="3"/>
  <c r="V35" i="3"/>
  <c r="U35" i="3"/>
  <c r="T35" i="3"/>
  <c r="S35" i="3"/>
  <c r="R35" i="3"/>
  <c r="Q35" i="3"/>
  <c r="P35" i="3"/>
  <c r="L6" i="3"/>
  <c r="L7" i="3"/>
  <c r="L8" i="3"/>
  <c r="L9" i="3"/>
  <c r="L10" i="3"/>
  <c r="L11" i="3"/>
  <c r="L12" i="3"/>
  <c r="L13" i="3"/>
  <c r="L14" i="3"/>
  <c r="L15" i="3"/>
  <c r="L16" i="3"/>
  <c r="L17" i="3"/>
  <c r="L18" i="3"/>
  <c r="L19" i="3"/>
  <c r="L20" i="3"/>
  <c r="L21" i="3"/>
  <c r="L22" i="3"/>
  <c r="L23" i="3"/>
  <c r="L24" i="3"/>
  <c r="L25" i="3"/>
  <c r="L26" i="3"/>
  <c r="L27" i="3"/>
  <c r="L28" i="3"/>
  <c r="L29" i="3"/>
  <c r="L30" i="3"/>
  <c r="L31" i="3"/>
  <c r="L32" i="3"/>
  <c r="L33" i="3"/>
  <c r="L34" i="3"/>
  <c r="C35" i="3"/>
  <c r="D35" i="3"/>
  <c r="E35" i="3"/>
  <c r="F35" i="3"/>
  <c r="G35" i="3"/>
  <c r="H35" i="3"/>
  <c r="I35" i="3"/>
  <c r="J35" i="3"/>
  <c r="L35" i="3" s="1"/>
  <c r="K35" i="3"/>
  <c r="AL6" i="1"/>
  <c r="AL7" i="1"/>
  <c r="AL8" i="1"/>
  <c r="AL9" i="1"/>
  <c r="AL10" i="1"/>
  <c r="AL11" i="1"/>
  <c r="AL12" i="1"/>
  <c r="AL13" i="1"/>
  <c r="AL14" i="1"/>
  <c r="AL15" i="1"/>
  <c r="AL16" i="1"/>
  <c r="AL17" i="1"/>
  <c r="AL18" i="1"/>
  <c r="AL19" i="1"/>
  <c r="AL20" i="1"/>
  <c r="AL21" i="1"/>
  <c r="AL22" i="1"/>
  <c r="AL23" i="1"/>
  <c r="AL24" i="1"/>
  <c r="AL25" i="1"/>
  <c r="Y5" i="1"/>
  <c r="Y6" i="1"/>
  <c r="Y7" i="1"/>
  <c r="Y8" i="1"/>
  <c r="Y9" i="1"/>
  <c r="Y10" i="1"/>
  <c r="Y11" i="1"/>
  <c r="Y12" i="1"/>
  <c r="Y13" i="1"/>
  <c r="Y14" i="1"/>
  <c r="Y15" i="1"/>
  <c r="Y16" i="1"/>
  <c r="Y17" i="1"/>
  <c r="Y18" i="1"/>
  <c r="Y19" i="1"/>
  <c r="Y20" i="1"/>
  <c r="Y21" i="1"/>
  <c r="Y22" i="1"/>
  <c r="Y23" i="1"/>
  <c r="Y24" i="1"/>
  <c r="Y25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AK25" i="1"/>
  <c r="AJ25" i="1"/>
  <c r="AI25" i="1"/>
  <c r="AH25" i="1"/>
  <c r="AG25" i="1"/>
  <c r="AF25" i="1"/>
  <c r="AE25" i="1"/>
  <c r="AD25" i="1"/>
  <c r="AC25" i="1"/>
  <c r="W25" i="1"/>
  <c r="X25" i="1"/>
  <c r="V25" i="1"/>
  <c r="U25" i="1"/>
  <c r="T25" i="1"/>
  <c r="S25" i="1"/>
  <c r="R25" i="1"/>
  <c r="Q25" i="1"/>
  <c r="P25" i="1"/>
  <c r="G25" i="1"/>
  <c r="H25" i="1"/>
  <c r="I25" i="1"/>
  <c r="J25" i="1"/>
  <c r="K25" i="1"/>
  <c r="D25" i="1"/>
  <c r="E25" i="1"/>
  <c r="F25" i="1"/>
  <c r="C25" i="1"/>
  <c r="H15" i="4" l="1"/>
  <c r="O30" i="4"/>
  <c r="L36" i="3"/>
  <c r="Y36" i="3"/>
  <c r="AL26" i="1"/>
  <c r="Y26" i="1"/>
  <c r="O29" i="4"/>
  <c r="M14" i="4"/>
  <c r="Y35" i="3"/>
</calcChain>
</file>

<file path=xl/sharedStrings.xml><?xml version="1.0" encoding="utf-8"?>
<sst xmlns="http://schemas.openxmlformats.org/spreadsheetml/2006/main" count="179" uniqueCount="28">
  <si>
    <t>ChatGPT</t>
  </si>
  <si>
    <t>Topic No</t>
  </si>
  <si>
    <t>NN</t>
  </si>
  <si>
    <t>NR</t>
  </si>
  <si>
    <t>RN</t>
  </si>
  <si>
    <t>RR</t>
  </si>
  <si>
    <t>Overlap</t>
  </si>
  <si>
    <t>Kappa</t>
  </si>
  <si>
    <t>Accuracy</t>
  </si>
  <si>
    <t>Precision</t>
  </si>
  <si>
    <t>Recall</t>
  </si>
  <si>
    <t>Mean</t>
  </si>
  <si>
    <t>deepseek</t>
  </si>
  <si>
    <t>LLAMA</t>
  </si>
  <si>
    <t>F1</t>
  </si>
  <si>
    <t>GPT</t>
  </si>
  <si>
    <t>Deepseek</t>
  </si>
  <si>
    <t>Human</t>
  </si>
  <si>
    <t>Overall</t>
  </si>
  <si>
    <t>median</t>
  </si>
  <si>
    <t>mean</t>
  </si>
  <si>
    <t>high</t>
  </si>
  <si>
    <t>low</t>
  </si>
  <si>
    <t>highest</t>
  </si>
  <si>
    <t>lowest</t>
  </si>
  <si>
    <t>Gemini</t>
  </si>
  <si>
    <t>max</t>
  </si>
  <si>
    <t>min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</si>
</sst>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</fonts>
  <fills count="1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4"/>
        <bgColor theme="4"/>
      </patternFill>
    </fill>
    <fill>
      <patternFill patternType="solid">
        <fgColor theme="9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9" tint="-0.499984740745262"/>
        <bgColor theme="0" tint="-0.14999847407452621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1"/>
      </top>
      <bottom style="medium">
        <color theme="1"/>
      </bottom>
      <diagonal/>
    </border>
  </borders>
  <cellStyleXfs count="1">
    <xf numFmtId="0" fontId="0" fillId="0" borderId="0"/>
  </cellStyleXfs>
  <cellXfs count="30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/>
    <xf numFmtId="2" fontId="0" fillId="0" borderId="0" xfId="0" applyNumberFormat="1" applyAlignment="1">
      <alignment horizontal="center"/>
    </xf>
    <xf numFmtId="2" fontId="1" fillId="3" borderId="0" xfId="0" applyNumberFormat="1" applyFont="1" applyFill="1" applyAlignment="1">
      <alignment horizontal="center" vertical="center"/>
    </xf>
    <xf numFmtId="2" fontId="0" fillId="0" borderId="0" xfId="0" applyNumberFormat="1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164" fontId="1" fillId="3" borderId="0" xfId="0" applyNumberFormat="1" applyFont="1" applyFill="1" applyAlignment="1">
      <alignment horizontal="center" vertical="center"/>
    </xf>
    <xf numFmtId="2" fontId="0" fillId="0" borderId="0" xfId="0" applyNumberFormat="1"/>
    <xf numFmtId="0" fontId="0" fillId="6" borderId="0" xfId="0" applyFill="1" applyAlignment="1">
      <alignment horizontal="center" vertical="center"/>
    </xf>
    <xf numFmtId="0" fontId="0" fillId="7" borderId="0" xfId="0" applyFill="1" applyAlignment="1">
      <alignment horizontal="center" vertical="center"/>
    </xf>
    <xf numFmtId="0" fontId="0" fillId="6" borderId="0" xfId="0" applyFill="1" applyAlignment="1">
      <alignment horizontal="center"/>
    </xf>
    <xf numFmtId="0" fontId="0" fillId="7" borderId="0" xfId="0" applyFill="1" applyAlignment="1">
      <alignment horizontal="center"/>
    </xf>
    <xf numFmtId="0" fontId="0" fillId="8" borderId="0" xfId="0" applyFill="1" applyAlignment="1">
      <alignment horizontal="center"/>
    </xf>
    <xf numFmtId="0" fontId="0" fillId="9" borderId="0" xfId="0" applyFill="1" applyAlignment="1">
      <alignment horizontal="center"/>
    </xf>
    <xf numFmtId="0" fontId="0" fillId="9" borderId="0" xfId="0" applyFill="1" applyAlignment="1">
      <alignment horizontal="center" vertical="center"/>
    </xf>
    <xf numFmtId="0" fontId="0" fillId="10" borderId="0" xfId="0" applyFill="1" applyAlignment="1">
      <alignment horizontal="center" vertical="center"/>
    </xf>
    <xf numFmtId="2" fontId="0" fillId="11" borderId="0" xfId="0" applyNumberFormat="1" applyFill="1" applyAlignment="1">
      <alignment horizontal="center" vertical="center"/>
    </xf>
    <xf numFmtId="2" fontId="0" fillId="9" borderId="0" xfId="0" applyNumberFormat="1" applyFill="1" applyAlignment="1">
      <alignment horizontal="center" vertical="center"/>
    </xf>
    <xf numFmtId="0" fontId="2" fillId="5" borderId="1" xfId="0" applyFont="1" applyFill="1" applyBorder="1" applyAlignment="1">
      <alignment horizontal="center" vertical="center"/>
    </xf>
    <xf numFmtId="0" fontId="0" fillId="4" borderId="0" xfId="0" applyFill="1" applyAlignment="1">
      <alignment horizontal="center"/>
    </xf>
    <xf numFmtId="2" fontId="0" fillId="4" borderId="0" xfId="0" applyNumberFormat="1" applyFill="1" applyAlignment="1">
      <alignment horizontal="center"/>
    </xf>
    <xf numFmtId="2" fontId="0" fillId="4" borderId="0" xfId="0" applyNumberFormat="1" applyFill="1" applyAlignment="1">
      <alignment horizontal="center" vertical="center"/>
    </xf>
    <xf numFmtId="0" fontId="0" fillId="12" borderId="0" xfId="0" applyFill="1" applyAlignment="1">
      <alignment horizontal="center"/>
    </xf>
    <xf numFmtId="2" fontId="0" fillId="13" borderId="0" xfId="0" applyNumberFormat="1" applyFill="1" applyAlignment="1">
      <alignment horizontal="center" vertical="center"/>
    </xf>
    <xf numFmtId="2" fontId="0" fillId="14" borderId="0" xfId="0" applyNumberFormat="1" applyFill="1" applyAlignment="1">
      <alignment horizontal="center" vertical="center"/>
    </xf>
    <xf numFmtId="0" fontId="0" fillId="1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</cellXfs>
  <cellStyles count="1">
    <cellStyle name="Normal" xfId="0" builtinId="0"/>
  </cellStyles>
  <dxfs count="141"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numFmt numFmtId="164" formatCode="0.00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numFmt numFmtId="2" formatCode="0.0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D146BCA7-3E91-4D70-828B-133612D884DB}" name="Table2" displayName="Table2" ref="B4:L27" totalsRowCount="1" headerRowDxfId="140" dataDxfId="139">
  <autoFilter ref="B4:L26" xr:uid="{D146BCA7-3E91-4D70-828B-133612D884DB}"/>
  <tableColumns count="11">
    <tableColumn id="1" xr3:uid="{A34774BE-B3FD-4016-9F6F-B33B75622B93}" name="Topic No" dataDxfId="138" totalsRowDxfId="137"/>
    <tableColumn id="2" xr3:uid="{384B4377-0A9F-4457-8D8E-CA17E42F64E3}" name="NN" dataDxfId="136" totalsRowDxfId="135"/>
    <tableColumn id="3" xr3:uid="{4A596E02-A10F-410E-AC56-F5DCAE0D9AD7}" name="NR" dataDxfId="134" totalsRowDxfId="133"/>
    <tableColumn id="4" xr3:uid="{08F859FD-C909-4EA4-AD45-44EB5F5E8A0D}" name="RN" dataDxfId="132" totalsRowDxfId="131"/>
    <tableColumn id="5" xr3:uid="{5EE06198-64D1-4061-B644-ACC518792852}" name="RR" dataDxfId="130" totalsRowDxfId="129"/>
    <tableColumn id="6" xr3:uid="{AE67A559-20B0-43CE-A5AE-2AA47EB338C4}" name="Overlap" totalsRowFunction="custom" dataDxfId="128" totalsRowDxfId="127">
      <totalsRowFormula>MAX(G5:G24)</totalsRowFormula>
    </tableColumn>
    <tableColumn id="7" xr3:uid="{1A76E073-DDA7-416A-A312-A4814B0EC02F}" name="Kappa" dataDxfId="126" totalsRowDxfId="125"/>
    <tableColumn id="8" xr3:uid="{6A89FBA3-4AA2-4206-811D-98CE3A4F69C7}" name="Accuracy" dataDxfId="124" totalsRowDxfId="123"/>
    <tableColumn id="9" xr3:uid="{D1371214-2EDF-411B-B78D-8B1645E6E068}" name="Precision" dataDxfId="122" totalsRowDxfId="121"/>
    <tableColumn id="10" xr3:uid="{A1843F6B-BC6C-4C4F-903A-A86DB0392251}" name="Recall" dataDxfId="120" totalsRowDxfId="119"/>
    <tableColumn id="12" xr3:uid="{99BB2FBD-50E8-4141-B8C5-E21E81862BB0}" name="F1" dataDxfId="118" totalsRowDxfId="117">
      <calculatedColumnFormula>2 * ((Table2[[#This Row],[Precision]]*Table2[[#This Row],[Recall]])/(Table2[[#This Row],[Precision]]+Table2[[#This Row],[Recall]]))</calculatedColumnFormula>
    </tableColumn>
  </tableColumns>
  <tableStyleInfo name="TableStyleMedium16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6899C00-74D7-4EE8-A5C2-3D32083BDBC9}" name="Table24" displayName="Table24" ref="O4:Y28" totalsRowShown="0" headerRowDxfId="116" dataDxfId="115">
  <autoFilter ref="O4:Y28" xr:uid="{06899C00-74D7-4EE8-A5C2-3D32083BDBC9}"/>
  <tableColumns count="11">
    <tableColumn id="1" xr3:uid="{43E1CBDA-DBAB-4F05-84B3-9B1D4F0F0134}" name="Topic No" dataDxfId="114"/>
    <tableColumn id="2" xr3:uid="{71402022-EF89-4962-95CD-57513C85FB4D}" name="NN" dataDxfId="113"/>
    <tableColumn id="3" xr3:uid="{93E2909E-5497-486E-8F4D-61E0B5761B28}" name="NR" dataDxfId="112"/>
    <tableColumn id="4" xr3:uid="{DDD94436-FE70-449B-AFFE-BFD62E5A1307}" name="RN" dataDxfId="111"/>
    <tableColumn id="5" xr3:uid="{10834F76-E9D1-425A-A1E2-3CB42885CB22}" name="RR" dataDxfId="110"/>
    <tableColumn id="6" xr3:uid="{451A5478-5F32-4410-B171-93159763E014}" name="Overlap" dataDxfId="109"/>
    <tableColumn id="7" xr3:uid="{24BC1E40-3D8E-43F9-83CD-5FD8AA54348D}" name="Kappa" dataDxfId="108"/>
    <tableColumn id="8" xr3:uid="{91E9E184-7C88-4968-B119-38734495813E}" name="Accuracy" dataDxfId="107"/>
    <tableColumn id="9" xr3:uid="{8F2A7401-5E42-4DE9-8882-1092F8419FCF}" name="Precision" dataDxfId="106"/>
    <tableColumn id="10" xr3:uid="{B4E247C5-E9C1-4957-A549-0E84349AC29A}" name="Recall" dataDxfId="105"/>
    <tableColumn id="11" xr3:uid="{75C1EC65-1C2A-4707-9B8B-53DAFA961CC2}" name="F1" dataDxfId="104">
      <calculatedColumnFormula>2 * ((Table24[[#This Row],[Precision]]*Table24[[#This Row],[Recall]])/(Table24[[#This Row],[Precision]]+Table24[[#This Row],[Recall]]))</calculatedColumnFormula>
    </tableColumn>
  </tableColumns>
  <tableStyleInfo name="TableStyleMedium16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EA7E84E8-ED7E-48C5-95DC-16980286196B}" name="Table245" displayName="Table245" ref="AB4:AL28" totalsRowShown="0" headerRowDxfId="103" dataDxfId="102">
  <autoFilter ref="AB4:AL28" xr:uid="{EA7E84E8-ED7E-48C5-95DC-16980286196B}"/>
  <tableColumns count="11">
    <tableColumn id="1" xr3:uid="{945FADF4-AAB4-452B-8BF3-364AB2192CEC}" name="Topic No" dataDxfId="101"/>
    <tableColumn id="2" xr3:uid="{DB716074-E9A8-4B6D-B215-DC8B645027B3}" name="NN" dataDxfId="100"/>
    <tableColumn id="3" xr3:uid="{CDB02F12-4748-48FE-8AA3-3275E63F2A76}" name="NR" dataDxfId="99"/>
    <tableColumn id="4" xr3:uid="{02FD2CFB-0148-4AEA-A4ED-401FE7FCCEF9}" name="RN" dataDxfId="98"/>
    <tableColumn id="5" xr3:uid="{5A4BAAED-8129-49B8-BF01-5A256A14AED3}" name="RR" dataDxfId="97"/>
    <tableColumn id="6" xr3:uid="{1627BA99-27A7-427D-BAB1-84E1B2E7EC67}" name="Overlap" dataDxfId="96"/>
    <tableColumn id="7" xr3:uid="{73AC0FC8-366D-4A19-9983-F98486270715}" name="Kappa" dataDxfId="95"/>
    <tableColumn id="8" xr3:uid="{30A8CB55-3730-49EE-9C20-C95275786AF3}" name="Accuracy" dataDxfId="94"/>
    <tableColumn id="9" xr3:uid="{0C1D9CF5-425D-480A-9EE3-CAEBBF9BADB5}" name="Precision" dataDxfId="93"/>
    <tableColumn id="10" xr3:uid="{56A9BBD8-98E2-4078-92BB-4AA415A79A90}" name="Recall" dataDxfId="92"/>
    <tableColumn id="11" xr3:uid="{548DC603-B75C-4912-96DF-1153F7921257}" name="F1" dataDxfId="91">
      <calculatedColumnFormula>2 * ((Table245[[#This Row],[Precision]]*Table245[[#This Row],[Recall]])/(Table245[[#This Row],[Precision]]+Table245[[#This Row],[Recall]]))</calculatedColumnFormula>
    </tableColumn>
  </tableColumns>
  <tableStyleInfo name="TableStyleMedium16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D5CBA993-C188-4471-9434-B4770C8D4CB3}" name="Table26" displayName="Table26" ref="B4:L37" totalsRowShown="0" headerRowDxfId="90" dataDxfId="89">
  <autoFilter ref="B4:L37" xr:uid="{D146BCA7-3E91-4D70-828B-133612D884DB}"/>
  <tableColumns count="11">
    <tableColumn id="1" xr3:uid="{AEB78E9C-1C6F-4EC7-A81A-034800DC986B}" name="Topic No" dataDxfId="88"/>
    <tableColumn id="2" xr3:uid="{817CC492-57C6-49EA-871C-ADD5B8E9B64D}" name="NN" dataDxfId="87"/>
    <tableColumn id="3" xr3:uid="{24449EFE-BEB4-4420-99A1-211D4868BB10}" name="NR" dataDxfId="86"/>
    <tableColumn id="4" xr3:uid="{0B77F448-8CAA-4532-8A77-51F3F5CB1D9C}" name="RN" dataDxfId="85"/>
    <tableColumn id="5" xr3:uid="{6909503C-0DB7-43B3-A96B-9A39EF12D04B}" name="RR" dataDxfId="84"/>
    <tableColumn id="6" xr3:uid="{1A34965A-295F-49A2-8328-9F0BF7BDE307}" name="Overlap" dataDxfId="83"/>
    <tableColumn id="7" xr3:uid="{4542524D-7FEA-4388-8E51-44BEFCCFBF24}" name="Kappa" dataDxfId="82"/>
    <tableColumn id="8" xr3:uid="{1AA2A4FE-6CE2-4DB3-83CE-63865F2907B5}" name="Accuracy" dataDxfId="81"/>
    <tableColumn id="9" xr3:uid="{F058143E-086F-49CF-98CD-B795479A4F9F}" name="Precision" dataDxfId="80"/>
    <tableColumn id="10" xr3:uid="{D0DF5EF2-3B31-44FD-945B-70CA3B7E6E01}" name="Recall" dataDxfId="79"/>
    <tableColumn id="12" xr3:uid="{F6C3022B-5E34-43AC-B6BB-6D28972EAEB9}" name="F1" dataDxfId="78">
      <calculatedColumnFormula>2 * ((Table26[[#This Row],[Precision]]*Table26[[#This Row],[Recall]])/(Table26[[#This Row],[Precision]]+Table26[[#This Row],[Recall]]))</calculatedColumnFormula>
    </tableColumn>
  </tableColumns>
  <tableStyleInfo name="TableStyleMedium16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2A6821C-AAD7-4E1E-BF17-DE7DE8651CC5}" name="Table2458" displayName="Table2458" ref="AB4:AL38" totalsRowShown="0" headerRowDxfId="77" dataDxfId="76">
  <autoFilter ref="AB4:AL38" xr:uid="{EA7E84E8-ED7E-48C5-95DC-16980286196B}"/>
  <tableColumns count="11">
    <tableColumn id="1" xr3:uid="{C65038B9-5DC3-47B6-973C-3FB46E29E202}" name="Topic No" dataDxfId="75"/>
    <tableColumn id="2" xr3:uid="{32366115-D348-4A05-B52F-E32F6E8DF3EF}" name="NN" dataDxfId="74"/>
    <tableColumn id="3" xr3:uid="{15861157-1958-40D2-98A9-57CB32FE2768}" name="NR" dataDxfId="73"/>
    <tableColumn id="4" xr3:uid="{738CFF72-3C2E-4D8E-B0E6-35DD9C1AE49C}" name="RN" dataDxfId="72"/>
    <tableColumn id="5" xr3:uid="{32362111-4921-4C39-B14A-1960E5A17C14}" name="RR" dataDxfId="71"/>
    <tableColumn id="6" xr3:uid="{3058F7F3-08C3-4944-98CE-65FB0FF913E9}" name="Overlap" dataDxfId="70"/>
    <tableColumn id="7" xr3:uid="{313D44DA-9E62-4063-8092-1C0EA5F88602}" name="Kappa" dataDxfId="69"/>
    <tableColumn id="8" xr3:uid="{205449F6-75E1-41EE-82C4-9D3769EEB592}" name="Accuracy" dataDxfId="68"/>
    <tableColumn id="9" xr3:uid="{06A76DF6-EA03-4C76-8CEA-D00D2C20A10F}" name="Precision" dataDxfId="67"/>
    <tableColumn id="10" xr3:uid="{181898AB-C350-4D93-AF5D-E0AC1E641327}" name="Recall" dataDxfId="66"/>
    <tableColumn id="11" xr3:uid="{BE08DC1A-282E-4F43-BA32-6DDC38FC2FEB}" name="F1" dataDxfId="65">
      <calculatedColumnFormula>2 * ((Table269[[#This Row],[Precision]]*Table269[[#This Row],[Recall]])/(Table269[[#This Row],[Precision]]+Table269[[#This Row],[Recall]]))</calculatedColumnFormula>
    </tableColumn>
  </tableColumns>
  <tableStyleInfo name="TableStyleMedium16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7EBFE868-4F2E-4F35-BB42-248A63802A27}" name="Table269" displayName="Table269" ref="O4:Y38" totalsRowShown="0" headerRowDxfId="64" dataDxfId="63">
  <autoFilter ref="O4:Y38" xr:uid="{7EBFE868-4F2E-4F35-BB42-248A63802A27}"/>
  <tableColumns count="11">
    <tableColumn id="1" xr3:uid="{E3D271B6-DE59-4834-8AE8-7C3558A1CDC6}" name="Topic No" dataDxfId="62"/>
    <tableColumn id="2" xr3:uid="{80BB2E38-A2B2-4722-A1CF-CB4CCBCEFFD4}" name="NN" dataDxfId="61"/>
    <tableColumn id="3" xr3:uid="{D2830968-A54E-4BF7-BBC1-48C648FBE388}" name="NR" dataDxfId="60"/>
    <tableColumn id="4" xr3:uid="{BABFB672-D586-4A31-836B-730E3BFC2347}" name="RN" dataDxfId="59"/>
    <tableColumn id="5" xr3:uid="{8D2FF5E0-8776-4C79-840B-2EA199387FCC}" name="RR" dataDxfId="58"/>
    <tableColumn id="6" xr3:uid="{90748A5D-68B4-449F-B985-815133EA59BE}" name="Overlap" dataDxfId="57"/>
    <tableColumn id="7" xr3:uid="{FBD61AF1-166E-49F8-BBF7-95C6A75A6D3F}" name="Kappa" dataDxfId="56"/>
    <tableColumn id="8" xr3:uid="{2BD7922C-D16D-4A01-B90F-0C4336F3A43F}" name="Accuracy" dataDxfId="55"/>
    <tableColumn id="9" xr3:uid="{FEF447AD-8599-4821-802D-A9D5314ADCA4}" name="Precision" dataDxfId="54"/>
    <tableColumn id="10" xr3:uid="{127F59ED-B694-4FEB-A7E1-E83EFD8A863C}" name="Recall" dataDxfId="53"/>
    <tableColumn id="12" xr3:uid="{AA52A7C4-1D40-4933-B2A7-186207BFB0B9}" name="F1" dataDxfId="52">
      <calculatedColumnFormula>2 * ((Table269[[#This Row],[Precision]]*Table269[[#This Row],[Recall]])/(Table269[[#This Row],[Precision]]+Table269[[#This Row],[Recall]]))</calculatedColumnFormula>
    </tableColumn>
  </tableColumns>
  <tableStyleInfo name="TableStyleMedium16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32DF540-28CF-44BA-AB4D-52F8D1002C87}" name="Table24582" displayName="Table24582" ref="AO4:AY38" totalsRowShown="0" headerRowDxfId="51" dataDxfId="50">
  <autoFilter ref="AO4:AY38" xr:uid="{032DF540-28CF-44BA-AB4D-52F8D1002C87}"/>
  <tableColumns count="11">
    <tableColumn id="1" xr3:uid="{C9AC216D-37CC-43A4-9A8B-71556E6B3C9A}" name="Topic No" dataDxfId="49"/>
    <tableColumn id="2" xr3:uid="{C673EB5B-C719-47EB-9F98-598DF297D5ED}" name="NN" dataDxfId="48"/>
    <tableColumn id="3" xr3:uid="{373ED35A-179A-4EC2-98D9-7F91094D9DC6}" name="NR" dataDxfId="47"/>
    <tableColumn id="4" xr3:uid="{49A79E9D-46AB-434D-8337-6F682E97292F}" name="RN" dataDxfId="46"/>
    <tableColumn id="5" xr3:uid="{93567C8E-AA69-48D6-9023-2C8DA0EC6B83}" name="RR" dataDxfId="45"/>
    <tableColumn id="6" xr3:uid="{2B2B1E99-3B6F-4F3F-B6A6-DDA9CB6DEB2B}" name="Overlap" dataDxfId="44"/>
    <tableColumn id="7" xr3:uid="{52EF8A53-7C22-48A0-AC9E-8E590E4882CE}" name="Kappa" dataDxfId="43"/>
    <tableColumn id="8" xr3:uid="{B63E4E97-026F-442D-B952-C9BC48C40D4F}" name="Accuracy" dataDxfId="42"/>
    <tableColumn id="9" xr3:uid="{6E04677A-F209-441D-A635-61E1C71564D0}" name="Precision" dataDxfId="41"/>
    <tableColumn id="10" xr3:uid="{36C6B504-3287-4C17-9C0F-6BF767F73497}" name="Recall" dataDxfId="40"/>
    <tableColumn id="11" xr3:uid="{F9361C88-EC1E-446D-A248-9752D259EF35}" name="F1" dataDxfId="39">
      <calculatedColumnFormula>2 * ((Table269[[#This Row],[Precision]]*Table269[[#This Row],[Recall]])/(Table269[[#This Row],[Precision]]+Table269[[#This Row],[Recall]]))</calculatedColumnFormula>
    </tableColumn>
  </tableColumns>
  <tableStyleInfo name="TableStyleMedium16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44715FBF-645D-44C5-811C-1246C3B4B71F}" name="Table2610" displayName="Table2610" ref="C5:M15" totalsRowShown="0" headerRowDxfId="38" dataDxfId="37">
  <autoFilter ref="C5:M15" xr:uid="{44715FBF-645D-44C5-811C-1246C3B4B71F}"/>
  <tableColumns count="11">
    <tableColumn id="1" xr3:uid="{442E55EA-274F-4710-B806-78EC3551CA1D}" name="Topic No" dataDxfId="36"/>
    <tableColumn id="2" xr3:uid="{5D9C7635-0158-4EFA-BD33-D339944ACDEB}" name="NN" dataDxfId="35"/>
    <tableColumn id="3" xr3:uid="{5B518584-6BD4-488E-9712-6129057AB482}" name="NR" dataDxfId="34"/>
    <tableColumn id="4" xr3:uid="{0F362CB0-982D-42F0-9698-9F2D887B4C25}" name="RN" dataDxfId="33"/>
    <tableColumn id="5" xr3:uid="{1358EAB9-D0AF-4DE2-A48C-6B3B4B95B581}" name="RR" dataDxfId="32"/>
    <tableColumn id="6" xr3:uid="{3B760FFF-055F-4E55-ACDD-B38853C924B2}" name="Overlap" dataDxfId="31"/>
    <tableColumn id="7" xr3:uid="{332CD10A-55A6-42C6-80C1-CF655D14730B}" name="Kappa" dataDxfId="30"/>
    <tableColumn id="8" xr3:uid="{85E2D059-5BC2-422E-8C21-D069EADB78BD}" name="Accuracy" dataDxfId="29"/>
    <tableColumn id="9" xr3:uid="{AAEDC1FE-7F4F-4B8A-9B89-C8D1717CAB88}" name="Precision" dataDxfId="28"/>
    <tableColumn id="10" xr3:uid="{1AB221CC-CE90-4194-98F4-9807E35B24AA}" name="Recall" dataDxfId="27"/>
    <tableColumn id="12" xr3:uid="{6B2C3DC6-5F31-4B68-8D6B-DF00615B3FC9}" name="F1" dataDxfId="26">
      <calculatedColumnFormula>2 * ((Table2610[[#This Row],[Precision]]*Table2610[[#This Row],[Recall]])/(Table2610[[#This Row],[Precision]]+Table2610[[#This Row],[Recall]]))</calculatedColumnFormula>
    </tableColumn>
  </tableColumns>
  <tableStyleInfo name="TableStyleMedium16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60063B8C-4F61-46F3-8124-129DD2C33B72}" name="Table26911" displayName="Table26911" ref="P5:Z14" totalsRowShown="0" headerRowDxfId="25" dataDxfId="24">
  <autoFilter ref="P5:Z14" xr:uid="{60063B8C-4F61-46F3-8124-129DD2C33B72}"/>
  <tableColumns count="11">
    <tableColumn id="1" xr3:uid="{3D46AFE8-E2AC-47C9-A4EE-A1FD465E895F}" name="Topic No" dataDxfId="23"/>
    <tableColumn id="2" xr3:uid="{4958BD17-4A2E-43B6-8C11-8065D9F1CDBC}" name="NN" dataDxfId="22"/>
    <tableColumn id="3" xr3:uid="{DAC48DC0-939F-4D6C-AE0A-B8ACB5A62087}" name="NR" dataDxfId="21"/>
    <tableColumn id="4" xr3:uid="{B55A5A92-BA78-4430-97B3-6060802384AE}" name="RN" dataDxfId="20"/>
    <tableColumn id="5" xr3:uid="{1FF84684-D42D-46BD-A3ED-273BDB75311A}" name="RR" dataDxfId="19"/>
    <tableColumn id="6" xr3:uid="{60934583-1F36-4EFF-80BF-6DF63103669D}" name="Overlap" dataDxfId="18"/>
    <tableColumn id="7" xr3:uid="{185C0343-CF43-4E96-BBFA-5C3DCA2EBB74}" name="Kappa" dataDxfId="17"/>
    <tableColumn id="8" xr3:uid="{5CD2EA9B-9CD7-4D5F-AF08-3F745951E99B}" name="Accuracy" dataDxfId="16"/>
    <tableColumn id="9" xr3:uid="{AD9E6927-0B41-4B48-94ED-3EFC9DC58607}" name="Precision" dataDxfId="15"/>
    <tableColumn id="10" xr3:uid="{8526B731-5BBA-4185-A91D-0E2D8319AE67}" name="Recall" dataDxfId="14"/>
    <tableColumn id="12" xr3:uid="{BBD67BA5-A641-4538-B959-0EDA4A8C21DA}" name="F1" dataDxfId="13">
      <calculatedColumnFormula>2 * ((Table26911[[#This Row],[Precision]]*Table26911[[#This Row],[Recall]])/(Table26911[[#This Row],[Precision]]+Table26911[[#This Row],[Recall]]))</calculatedColumnFormula>
    </tableColumn>
  </tableColumns>
  <tableStyleInfo name="TableStyleMedium16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76E01CC9-685D-4699-AAAB-1CF97597613D}" name="Table261014" displayName="Table261014" ref="J20:T30" totalsRowShown="0" headerRowDxfId="12" dataDxfId="11">
  <autoFilter ref="J20:T30" xr:uid="{76E01CC9-685D-4699-AAAB-1CF97597613D}"/>
  <tableColumns count="11">
    <tableColumn id="1" xr3:uid="{2E370117-D285-4B93-9956-C49CC4249DAC}" name="Topic No" dataDxfId="10"/>
    <tableColumn id="2" xr3:uid="{0D8759E0-6A81-4132-994C-38A34BE44094}" name="NN" dataDxfId="9"/>
    <tableColumn id="3" xr3:uid="{22B96477-93FE-4A6C-86CC-7EC3C0EC0CE8}" name="NR" dataDxfId="8"/>
    <tableColumn id="4" xr3:uid="{351AC192-2D88-4511-B177-5453477D6040}" name="RN" dataDxfId="7"/>
    <tableColumn id="5" xr3:uid="{06921FF4-4D10-490A-AE6F-BCA607731436}" name="RR" dataDxfId="6"/>
    <tableColumn id="6" xr3:uid="{01EF7621-1460-482B-B7EA-4A974C7794F9}" name="Overlap" dataDxfId="5"/>
    <tableColumn id="7" xr3:uid="{FC727C07-AA41-436D-B159-E404EC39BEFF}" name="Kappa" dataDxfId="4"/>
    <tableColumn id="8" xr3:uid="{E46DA9BE-F115-4750-A1DC-3F414D99CD9E}" name="Accuracy" dataDxfId="3"/>
    <tableColumn id="9" xr3:uid="{D9A4730C-AB68-4FCC-B1EF-57D06474019C}" name="Precision" dataDxfId="2"/>
    <tableColumn id="10" xr3:uid="{C15FD51C-FFCA-46E5-A27B-0806F9BBF4B6}" name="Recall" dataDxfId="1"/>
    <tableColumn id="12" xr3:uid="{C8837B7F-ABD9-4066-A1A1-A72EF505A7E2}" name="F1" dataDxfId="0">
      <calculatedColumnFormula>2 * ((Table261014[[#This Row],[Precision]]*Table261014[[#This Row],[Recall]])/(Table261014[[#This Row],[Precision]]+Table261014[[#This Row],[Recall]]))</calculatedColumnFormula>
    </tableColumn>
  </tableColumns>
  <tableStyleInfo name="TableStyleMedium16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3.xml"/><Relationship Id="rId2" Type="http://schemas.openxmlformats.org/officeDocument/2006/relationships/table" Target="../tables/table2.xml"/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table" Target="../tables/table6.xml"/><Relationship Id="rId2" Type="http://schemas.openxmlformats.org/officeDocument/2006/relationships/table" Target="../tables/table5.xml"/><Relationship Id="rId1" Type="http://schemas.openxmlformats.org/officeDocument/2006/relationships/table" Target="../tables/table4.xml"/><Relationship Id="rId4" Type="http://schemas.openxmlformats.org/officeDocument/2006/relationships/table" Target="../tables/table7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0.xml"/><Relationship Id="rId2" Type="http://schemas.openxmlformats.org/officeDocument/2006/relationships/table" Target="../tables/table9.xml"/><Relationship Id="rId1" Type="http://schemas.openxmlformats.org/officeDocument/2006/relationships/table" Target="../tables/table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A8C6F5-1742-4ED4-BCAB-2A4531799884}">
  <dimension ref="B2:BA31"/>
  <sheetViews>
    <sheetView topLeftCell="AE4" workbookViewId="0">
      <selection activeCell="AQ1" sqref="AQ1:BA25"/>
    </sheetView>
  </sheetViews>
  <sheetFormatPr defaultRowHeight="15" x14ac:dyDescent="0.25"/>
  <cols>
    <col min="2" max="2" width="13.85546875" customWidth="1"/>
    <col min="3" max="3" width="9.28515625" customWidth="1"/>
    <col min="7" max="7" width="12.85546875" customWidth="1"/>
    <col min="8" max="8" width="12.5703125" customWidth="1"/>
    <col min="9" max="9" width="14" customWidth="1"/>
    <col min="10" max="10" width="13.5703125" customWidth="1"/>
    <col min="11" max="11" width="14.85546875" customWidth="1"/>
    <col min="19" max="19" width="12.42578125" customWidth="1"/>
    <col min="20" max="20" width="11" customWidth="1"/>
    <col min="21" max="21" width="12.5703125" customWidth="1"/>
    <col min="22" max="22" width="12.140625" customWidth="1"/>
    <col min="23" max="23" width="12.42578125" customWidth="1"/>
    <col min="26" max="26" width="10.7109375" customWidth="1"/>
    <col min="27" max="27" width="10.28515625" customWidth="1"/>
    <col min="28" max="28" width="10.140625" customWidth="1"/>
    <col min="31" max="31" width="13.85546875" customWidth="1"/>
    <col min="32" max="32" width="11.7109375" customWidth="1"/>
    <col min="33" max="33" width="11.85546875" customWidth="1"/>
    <col min="34" max="34" width="11.5703125" customWidth="1"/>
    <col min="35" max="35" width="12.42578125" customWidth="1"/>
  </cols>
  <sheetData>
    <row r="2" spans="2:53" x14ac:dyDescent="0.25">
      <c r="AU2" t="s">
        <v>25</v>
      </c>
    </row>
    <row r="3" spans="2:53" ht="15.75" thickBot="1" x14ac:dyDescent="0.3">
      <c r="C3" s="4" t="s">
        <v>0</v>
      </c>
      <c r="R3" s="4" t="s">
        <v>12</v>
      </c>
      <c r="AE3" s="4" t="s">
        <v>13</v>
      </c>
    </row>
    <row r="4" spans="2:53" ht="15.75" thickBot="1" x14ac:dyDescent="0.3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14</v>
      </c>
      <c r="O4" s="2" t="s">
        <v>1</v>
      </c>
      <c r="P4" s="2" t="s">
        <v>2</v>
      </c>
      <c r="Q4" s="2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9</v>
      </c>
      <c r="X4" s="2" t="s">
        <v>10</v>
      </c>
      <c r="Y4" s="2" t="s">
        <v>14</v>
      </c>
      <c r="AB4" s="2" t="s">
        <v>1</v>
      </c>
      <c r="AC4" s="2" t="s">
        <v>2</v>
      </c>
      <c r="AD4" s="2" t="s">
        <v>3</v>
      </c>
      <c r="AE4" s="2" t="s">
        <v>4</v>
      </c>
      <c r="AF4" s="2" t="s">
        <v>5</v>
      </c>
      <c r="AG4" s="2" t="s">
        <v>6</v>
      </c>
      <c r="AH4" s="2" t="s">
        <v>7</v>
      </c>
      <c r="AI4" s="2" t="s">
        <v>8</v>
      </c>
      <c r="AJ4" s="2" t="s">
        <v>9</v>
      </c>
      <c r="AK4" s="2" t="s">
        <v>10</v>
      </c>
      <c r="AL4" s="2" t="s">
        <v>14</v>
      </c>
      <c r="AQ4" s="21" t="s">
        <v>1</v>
      </c>
      <c r="AR4" s="21" t="s">
        <v>2</v>
      </c>
      <c r="AS4" s="21" t="s">
        <v>3</v>
      </c>
      <c r="AT4" s="21" t="s">
        <v>4</v>
      </c>
      <c r="AU4" s="21" t="s">
        <v>5</v>
      </c>
      <c r="AV4" s="21" t="s">
        <v>6</v>
      </c>
      <c r="AW4" s="21" t="s">
        <v>7</v>
      </c>
      <c r="AX4" s="21" t="s">
        <v>8</v>
      </c>
      <c r="AY4" s="21" t="s">
        <v>9</v>
      </c>
      <c r="AZ4" s="21" t="s">
        <v>10</v>
      </c>
      <c r="BA4" s="21" t="s">
        <v>14</v>
      </c>
    </row>
    <row r="5" spans="2:53" x14ac:dyDescent="0.25">
      <c r="B5" s="2">
        <v>11</v>
      </c>
      <c r="C5" s="2">
        <v>1371</v>
      </c>
      <c r="D5" s="2">
        <v>13</v>
      </c>
      <c r="E5" s="2">
        <v>96</v>
      </c>
      <c r="F5" s="2">
        <v>126</v>
      </c>
      <c r="G5" s="7">
        <v>0.536170212765957</v>
      </c>
      <c r="H5" s="7">
        <v>0.66209053180194899</v>
      </c>
      <c r="I5" s="7">
        <v>0.93212951432129498</v>
      </c>
      <c r="J5" s="7">
        <v>0.90647482014388403</v>
      </c>
      <c r="K5" s="7">
        <v>0.56756756756756699</v>
      </c>
      <c r="L5" s="7">
        <f>2 * ((Table2[[#This Row],[Precision]]*Table2[[#This Row],[Recall]])/(Table2[[#This Row],[Precision]]+Table2[[#This Row],[Recall]]))</f>
        <v>0.69806094182825418</v>
      </c>
      <c r="O5" s="1">
        <v>11</v>
      </c>
      <c r="P5" s="1">
        <v>1379</v>
      </c>
      <c r="Q5" s="1">
        <v>5</v>
      </c>
      <c r="R5" s="1">
        <v>206</v>
      </c>
      <c r="S5" s="1">
        <v>16</v>
      </c>
      <c r="T5" s="5">
        <v>7.0484581497797294E-2</v>
      </c>
      <c r="U5" s="5">
        <v>0.11043382843222201</v>
      </c>
      <c r="V5" s="5">
        <v>0.86861768368617598</v>
      </c>
      <c r="W5" s="5">
        <v>0.76190476190476097</v>
      </c>
      <c r="X5" s="5">
        <v>7.2072072072072002E-2</v>
      </c>
      <c r="Y5" s="7">
        <f>2 * ((Table24[[#This Row],[Precision]]*Table24[[#This Row],[Recall]])/(Table24[[#This Row],[Precision]]+Table24[[#This Row],[Recall]]))</f>
        <v>0.13168724279835378</v>
      </c>
      <c r="AB5" s="1">
        <v>11</v>
      </c>
      <c r="AC5" s="1">
        <v>1076</v>
      </c>
      <c r="AD5" s="1">
        <v>308</v>
      </c>
      <c r="AE5" s="1">
        <v>43</v>
      </c>
      <c r="AF5" s="1">
        <v>179</v>
      </c>
      <c r="AG5" s="5">
        <v>0.33773584905660298</v>
      </c>
      <c r="AH5" s="5">
        <v>0.38888756388046303</v>
      </c>
      <c r="AI5" s="5">
        <v>0.78144458281444495</v>
      </c>
      <c r="AJ5" s="5">
        <v>0.367556468172484</v>
      </c>
      <c r="AK5" s="5">
        <v>0.80630630630630595</v>
      </c>
      <c r="AL5" s="7">
        <f>2 * ((Table245[[#This Row],[Precision]]*Table245[[#This Row],[Recall]])/(Table245[[#This Row],[Precision]]+Table245[[#This Row],[Recall]]))</f>
        <v>0.50493653032439989</v>
      </c>
      <c r="AQ5" s="22">
        <v>11</v>
      </c>
      <c r="AR5" s="22">
        <v>1377</v>
      </c>
      <c r="AS5" s="22">
        <v>7</v>
      </c>
      <c r="AT5" s="22">
        <v>183</v>
      </c>
      <c r="AU5" s="22">
        <v>39</v>
      </c>
      <c r="AV5" s="23">
        <v>0.17030567685589501</v>
      </c>
      <c r="AW5" s="23">
        <v>0.25572705276303398</v>
      </c>
      <c r="AX5" s="23">
        <v>0.88169364881693602</v>
      </c>
      <c r="AY5" s="23">
        <v>0.84782608695652095</v>
      </c>
      <c r="AZ5" s="23">
        <v>0.17567567567567499</v>
      </c>
      <c r="BA5" s="24">
        <f>2*((AY5*AZ5)/(AY5+AZ5))</f>
        <v>0.29104477611940194</v>
      </c>
    </row>
    <row r="6" spans="2:53" x14ac:dyDescent="0.25">
      <c r="B6" s="2">
        <v>12</v>
      </c>
      <c r="C6" s="2">
        <v>989</v>
      </c>
      <c r="D6" s="2">
        <v>165</v>
      </c>
      <c r="E6" s="2">
        <v>5</v>
      </c>
      <c r="F6" s="2">
        <v>26</v>
      </c>
      <c r="G6" s="7">
        <v>0.132653061224489</v>
      </c>
      <c r="H6" s="7">
        <v>0.19813874249685501</v>
      </c>
      <c r="I6" s="7">
        <v>0.85654008438818496</v>
      </c>
      <c r="J6" s="7">
        <v>0.13612565445026101</v>
      </c>
      <c r="K6" s="7">
        <v>0.83870967741935398</v>
      </c>
      <c r="L6" s="7">
        <f>2 * ((Table2[[#This Row],[Precision]]*Table2[[#This Row],[Recall]])/(Table2[[#This Row],[Precision]]+Table2[[#This Row],[Recall]]))</f>
        <v>0.23423423423423306</v>
      </c>
      <c r="O6" s="1">
        <v>12</v>
      </c>
      <c r="P6" s="1">
        <v>1131</v>
      </c>
      <c r="Q6" s="1">
        <v>23</v>
      </c>
      <c r="R6" s="1">
        <v>16</v>
      </c>
      <c r="S6" s="1">
        <v>15</v>
      </c>
      <c r="T6" s="5">
        <v>0.27777777777777701</v>
      </c>
      <c r="U6" s="5">
        <v>0.41801307156619599</v>
      </c>
      <c r="V6" s="5">
        <v>0.96708860759493598</v>
      </c>
      <c r="W6" s="5">
        <v>0.394736842105263</v>
      </c>
      <c r="X6" s="5">
        <v>0.483870967741935</v>
      </c>
      <c r="Y6" s="7">
        <f>2 * ((Table24[[#This Row],[Precision]]*Table24[[#This Row],[Recall]])/(Table24[[#This Row],[Precision]]+Table24[[#This Row],[Recall]]))</f>
        <v>0.43478260869565188</v>
      </c>
      <c r="AB6" s="1">
        <v>12</v>
      </c>
      <c r="AC6" s="1">
        <v>685</v>
      </c>
      <c r="AD6" s="1">
        <v>469</v>
      </c>
      <c r="AE6" s="1">
        <v>5</v>
      </c>
      <c r="AF6" s="1">
        <v>26</v>
      </c>
      <c r="AG6" s="5">
        <v>5.1999999999999998E-2</v>
      </c>
      <c r="AH6" s="5">
        <v>5.21919611217979E-2</v>
      </c>
      <c r="AI6" s="5">
        <v>0.6</v>
      </c>
      <c r="AJ6" s="5">
        <v>5.2525252525252503E-2</v>
      </c>
      <c r="AK6" s="5">
        <v>0.83870967741935398</v>
      </c>
      <c r="AL6" s="7">
        <f>2 * ((Table245[[#This Row],[Precision]]*Table245[[#This Row],[Recall]])/(Table245[[#This Row],[Precision]]+Table245[[#This Row],[Recall]]))</f>
        <v>9.8859315589353555E-2</v>
      </c>
      <c r="AQ6" s="1">
        <v>12</v>
      </c>
      <c r="AR6" s="1">
        <v>1085</v>
      </c>
      <c r="AS6" s="1">
        <v>69</v>
      </c>
      <c r="AT6" s="1">
        <v>12</v>
      </c>
      <c r="AU6" s="1">
        <v>19</v>
      </c>
      <c r="AV6" s="5">
        <v>0.19</v>
      </c>
      <c r="AW6" s="5">
        <v>0.291931926319904</v>
      </c>
      <c r="AX6" s="5">
        <v>0.93164556962025302</v>
      </c>
      <c r="AY6" s="5">
        <v>0.21590909090909</v>
      </c>
      <c r="AZ6" s="5">
        <v>0.61290322580645096</v>
      </c>
      <c r="BA6" s="24">
        <f t="shared" ref="BA6:BA24" si="0">2*((AY6*AZ6)/(AY6+AZ6))</f>
        <v>0.31932773109243584</v>
      </c>
    </row>
    <row r="7" spans="2:53" x14ac:dyDescent="0.25">
      <c r="B7" s="2">
        <v>13</v>
      </c>
      <c r="C7" s="2">
        <v>999</v>
      </c>
      <c r="D7" s="2">
        <v>9</v>
      </c>
      <c r="E7" s="2">
        <v>152</v>
      </c>
      <c r="F7" s="2">
        <v>20</v>
      </c>
      <c r="G7" s="7">
        <v>0.11049723756906001</v>
      </c>
      <c r="H7" s="7">
        <v>0.16383514374746899</v>
      </c>
      <c r="I7" s="7">
        <v>0.86355932203389796</v>
      </c>
      <c r="J7" s="7">
        <v>0.68965517241379304</v>
      </c>
      <c r="K7" s="7">
        <v>0.116279069767441</v>
      </c>
      <c r="L7" s="7">
        <f>2 * ((Table2[[#This Row],[Precision]]*Table2[[#This Row],[Recall]])/(Table2[[#This Row],[Precision]]+Table2[[#This Row],[Recall]]))</f>
        <v>0.19900497512437687</v>
      </c>
      <c r="O7" s="1">
        <v>13</v>
      </c>
      <c r="P7" s="1">
        <v>1004</v>
      </c>
      <c r="Q7" s="1">
        <v>4</v>
      </c>
      <c r="R7" s="1">
        <v>164</v>
      </c>
      <c r="S7" s="1">
        <v>8</v>
      </c>
      <c r="T7" s="5">
        <v>4.54545454545454E-2</v>
      </c>
      <c r="U7" s="5">
        <v>6.9260817307692096E-2</v>
      </c>
      <c r="V7" s="5">
        <v>0.85762711864406704</v>
      </c>
      <c r="W7" s="5">
        <v>0.66666666666666596</v>
      </c>
      <c r="X7" s="5">
        <v>4.6511627906976702E-2</v>
      </c>
      <c r="Y7" s="7">
        <f>2 * ((Table24[[#This Row],[Precision]]*Table24[[#This Row],[Recall]])/(Table24[[#This Row],[Precision]]+Table24[[#This Row],[Recall]]))</f>
        <v>8.6956521739130363E-2</v>
      </c>
      <c r="AB7" s="1">
        <v>13</v>
      </c>
      <c r="AC7" s="1">
        <v>855</v>
      </c>
      <c r="AD7" s="1">
        <v>153</v>
      </c>
      <c r="AE7" s="1">
        <v>88</v>
      </c>
      <c r="AF7" s="1">
        <v>84</v>
      </c>
      <c r="AG7" s="5">
        <v>0.25846153846153802</v>
      </c>
      <c r="AH7" s="5">
        <v>0.29098560928664702</v>
      </c>
      <c r="AI7" s="5">
        <v>0.79576271186440595</v>
      </c>
      <c r="AJ7" s="5">
        <v>0.354430379746835</v>
      </c>
      <c r="AK7" s="5">
        <v>0.48837209302325502</v>
      </c>
      <c r="AL7" s="7">
        <f>2 * ((Table245[[#This Row],[Precision]]*Table245[[#This Row],[Recall]])/(Table245[[#This Row],[Precision]]+Table245[[#This Row],[Recall]]))</f>
        <v>0.4107579462102684</v>
      </c>
      <c r="AQ7" s="22">
        <v>13</v>
      </c>
      <c r="AR7" s="22">
        <v>1006</v>
      </c>
      <c r="AS7" s="22">
        <v>2</v>
      </c>
      <c r="AT7" s="22">
        <v>160</v>
      </c>
      <c r="AU7" s="22">
        <v>12</v>
      </c>
      <c r="AV7" s="23">
        <v>6.8965517241379296E-2</v>
      </c>
      <c r="AW7" s="23">
        <v>0.10949204337942101</v>
      </c>
      <c r="AX7" s="23">
        <v>0.86271186440677905</v>
      </c>
      <c r="AY7" s="23">
        <v>0.85714285714285698</v>
      </c>
      <c r="AZ7" s="23">
        <v>6.9767441860465101E-2</v>
      </c>
      <c r="BA7" s="24">
        <f t="shared" si="0"/>
        <v>0.1290322580645161</v>
      </c>
    </row>
    <row r="8" spans="2:53" x14ac:dyDescent="0.25">
      <c r="B8" s="2">
        <v>14</v>
      </c>
      <c r="C8" s="2">
        <v>1023</v>
      </c>
      <c r="D8" s="2">
        <v>32</v>
      </c>
      <c r="E8" s="2">
        <v>32</v>
      </c>
      <c r="F8" s="2">
        <v>11</v>
      </c>
      <c r="G8" s="7">
        <v>0.146666666666666</v>
      </c>
      <c r="H8" s="7">
        <v>0.225482199933869</v>
      </c>
      <c r="I8" s="7">
        <v>0.94171220400728595</v>
      </c>
      <c r="J8" s="7">
        <v>0.25581395348837199</v>
      </c>
      <c r="K8" s="7">
        <v>0.25581395348837199</v>
      </c>
      <c r="L8" s="7">
        <f>2 * ((Table2[[#This Row],[Precision]]*Table2[[#This Row],[Recall]])/(Table2[[#This Row],[Precision]]+Table2[[#This Row],[Recall]]))</f>
        <v>0.25581395348837199</v>
      </c>
      <c r="O8" s="1">
        <v>14</v>
      </c>
      <c r="P8" s="1">
        <v>1035</v>
      </c>
      <c r="Q8" s="1">
        <v>20</v>
      </c>
      <c r="R8" s="1">
        <v>38</v>
      </c>
      <c r="S8" s="1">
        <v>5</v>
      </c>
      <c r="T8" s="5">
        <v>7.9365079365079305E-2</v>
      </c>
      <c r="U8" s="5">
        <v>0.12176958932068301</v>
      </c>
      <c r="V8" s="5">
        <v>0.947176684881602</v>
      </c>
      <c r="W8" s="5">
        <v>0.2</v>
      </c>
      <c r="X8" s="5">
        <v>0.116279069767441</v>
      </c>
      <c r="Y8" s="7">
        <f>2 * ((Table24[[#This Row],[Precision]]*Table24[[#This Row],[Recall]])/(Table24[[#This Row],[Precision]]+Table24[[#This Row],[Recall]]))</f>
        <v>0.14705882352941108</v>
      </c>
      <c r="AB8" s="1">
        <v>14</v>
      </c>
      <c r="AC8" s="1">
        <v>572</v>
      </c>
      <c r="AD8" s="1">
        <v>483</v>
      </c>
      <c r="AE8" s="1">
        <v>8</v>
      </c>
      <c r="AF8" s="1">
        <v>35</v>
      </c>
      <c r="AG8" s="5">
        <v>6.6539923954372596E-2</v>
      </c>
      <c r="AH8" s="5">
        <v>5.6545858635353399E-2</v>
      </c>
      <c r="AI8" s="5">
        <v>0.552823315118397</v>
      </c>
      <c r="AJ8" s="5">
        <v>6.7567567567567502E-2</v>
      </c>
      <c r="AK8" s="5">
        <v>0.81395348837209303</v>
      </c>
      <c r="AL8" s="7">
        <f>2 * ((Table245[[#This Row],[Precision]]*Table245[[#This Row],[Recall]])/(Table245[[#This Row],[Precision]]+Table245[[#This Row],[Recall]]))</f>
        <v>0.1247771836007129</v>
      </c>
      <c r="AQ8" s="1">
        <v>14</v>
      </c>
      <c r="AR8" s="1">
        <v>1037</v>
      </c>
      <c r="AS8" s="1">
        <v>18</v>
      </c>
      <c r="AT8" s="1">
        <v>37</v>
      </c>
      <c r="AU8" s="1">
        <v>6</v>
      </c>
      <c r="AV8" s="5">
        <v>9.8360655737704902E-2</v>
      </c>
      <c r="AW8" s="5">
        <v>0.15540824032893999</v>
      </c>
      <c r="AX8" s="5">
        <v>0.94990892531876103</v>
      </c>
      <c r="AY8" s="5">
        <v>0.25</v>
      </c>
      <c r="AZ8" s="5">
        <v>0.13953488372093001</v>
      </c>
      <c r="BA8" s="24">
        <f t="shared" si="0"/>
        <v>0.17910447761194009</v>
      </c>
    </row>
    <row r="9" spans="2:53" x14ac:dyDescent="0.25">
      <c r="B9" s="2">
        <v>15</v>
      </c>
      <c r="C9" s="2">
        <v>962</v>
      </c>
      <c r="D9" s="2">
        <v>108</v>
      </c>
      <c r="E9" s="2">
        <v>223</v>
      </c>
      <c r="F9" s="2">
        <v>143</v>
      </c>
      <c r="G9" s="7">
        <v>0.30168776371307998</v>
      </c>
      <c r="H9" s="7">
        <v>0.32318163695392099</v>
      </c>
      <c r="I9" s="7">
        <v>0.76949860724233898</v>
      </c>
      <c r="J9" s="7">
        <v>0.56972111553784799</v>
      </c>
      <c r="K9" s="7">
        <v>0.39071038251366103</v>
      </c>
      <c r="L9" s="7">
        <f>2 * ((Table2[[#This Row],[Precision]]*Table2[[#This Row],[Recall]])/(Table2[[#This Row],[Precision]]+Table2[[#This Row],[Recall]]))</f>
        <v>0.46353322528363017</v>
      </c>
      <c r="O9" s="1">
        <v>15</v>
      </c>
      <c r="P9" s="1">
        <v>1062</v>
      </c>
      <c r="Q9" s="1">
        <v>8</v>
      </c>
      <c r="R9" s="1">
        <v>332</v>
      </c>
      <c r="S9" s="1">
        <v>34</v>
      </c>
      <c r="T9" s="5">
        <v>9.0909090909090898E-2</v>
      </c>
      <c r="U9" s="5">
        <v>0.120516478607352</v>
      </c>
      <c r="V9" s="5">
        <v>0.76323119777158699</v>
      </c>
      <c r="W9" s="5">
        <v>0.80952380952380898</v>
      </c>
      <c r="X9" s="5">
        <v>9.2896174863387901E-2</v>
      </c>
      <c r="Y9" s="7">
        <f>2 * ((Table24[[#This Row],[Precision]]*Table24[[#This Row],[Recall]])/(Table24[[#This Row],[Precision]]+Table24[[#This Row],[Recall]]))</f>
        <v>0.16666666666666655</v>
      </c>
      <c r="AB9" s="1">
        <v>15</v>
      </c>
      <c r="AC9" s="1">
        <v>611</v>
      </c>
      <c r="AD9" s="1">
        <v>459</v>
      </c>
      <c r="AE9" s="1">
        <v>111</v>
      </c>
      <c r="AF9" s="1">
        <v>255</v>
      </c>
      <c r="AG9" s="5">
        <v>0.30909090909090903</v>
      </c>
      <c r="AH9" s="5">
        <v>0.203953971477254</v>
      </c>
      <c r="AI9" s="5">
        <v>0.60306406685236702</v>
      </c>
      <c r="AJ9" s="5">
        <v>0.35714285714285698</v>
      </c>
      <c r="AK9" s="5">
        <v>0.69672131147540906</v>
      </c>
      <c r="AL9" s="7">
        <f>2 * ((Table245[[#This Row],[Precision]]*Table245[[#This Row],[Recall]])/(Table245[[#This Row],[Precision]]+Table245[[#This Row],[Recall]]))</f>
        <v>0.47222222222222193</v>
      </c>
      <c r="AQ9" s="22">
        <v>15</v>
      </c>
      <c r="AR9" s="22">
        <v>1061</v>
      </c>
      <c r="AS9" s="22">
        <v>9</v>
      </c>
      <c r="AT9" s="22">
        <v>330</v>
      </c>
      <c r="AU9" s="22">
        <v>36</v>
      </c>
      <c r="AV9" s="23">
        <v>9.6000000000000002E-2</v>
      </c>
      <c r="AW9" s="23">
        <v>0.126426633360609</v>
      </c>
      <c r="AX9" s="23">
        <v>0.76392757660167099</v>
      </c>
      <c r="AY9" s="23">
        <v>0.8</v>
      </c>
      <c r="AZ9" s="23">
        <v>9.8360655737704902E-2</v>
      </c>
      <c r="BA9" s="24">
        <f t="shared" si="0"/>
        <v>0.1751824817518248</v>
      </c>
    </row>
    <row r="10" spans="2:53" x14ac:dyDescent="0.25">
      <c r="B10" s="2">
        <v>16</v>
      </c>
      <c r="C10" s="2">
        <v>649</v>
      </c>
      <c r="D10" s="2">
        <v>8</v>
      </c>
      <c r="E10" s="2">
        <v>627</v>
      </c>
      <c r="F10" s="2">
        <v>58</v>
      </c>
      <c r="G10" s="7">
        <v>8.3694083694083696E-2</v>
      </c>
      <c r="H10" s="7">
        <v>7.1125392676434807E-2</v>
      </c>
      <c r="I10" s="7">
        <v>0.52682563338301003</v>
      </c>
      <c r="J10" s="7">
        <v>0.87878787878787801</v>
      </c>
      <c r="K10" s="7">
        <v>8.4671532846715303E-2</v>
      </c>
      <c r="L10" s="7">
        <f>2 * ((Table2[[#This Row],[Precision]]*Table2[[#This Row],[Recall]])/(Table2[[#This Row],[Precision]]+Table2[[#This Row],[Recall]]))</f>
        <v>0.15446071904127823</v>
      </c>
      <c r="O10" s="1">
        <v>16</v>
      </c>
      <c r="P10" s="1">
        <v>655</v>
      </c>
      <c r="Q10" s="1">
        <v>2</v>
      </c>
      <c r="R10" s="1">
        <v>664</v>
      </c>
      <c r="S10" s="1">
        <v>21</v>
      </c>
      <c r="T10" s="5">
        <v>3.05676855895196E-2</v>
      </c>
      <c r="U10" s="5">
        <v>2.7055624378147299E-2</v>
      </c>
      <c r="V10" s="5">
        <v>0.50372578241430699</v>
      </c>
      <c r="W10" s="5">
        <v>0.91304347826086896</v>
      </c>
      <c r="X10" s="5">
        <v>3.0656934306569301E-2</v>
      </c>
      <c r="Y10" s="7">
        <f>2 * ((Table24[[#This Row],[Precision]]*Table24[[#This Row],[Recall]])/(Table24[[#This Row],[Precision]]+Table24[[#This Row],[Recall]]))</f>
        <v>5.9322033898304996E-2</v>
      </c>
      <c r="AB10" s="15">
        <v>16</v>
      </c>
      <c r="AC10" s="1">
        <v>540</v>
      </c>
      <c r="AD10" s="1">
        <v>117</v>
      </c>
      <c r="AE10" s="1">
        <v>303</v>
      </c>
      <c r="AF10" s="1">
        <v>382</v>
      </c>
      <c r="AG10" s="5">
        <v>0.47630922693266797</v>
      </c>
      <c r="AH10" s="5">
        <v>0.37739838152740801</v>
      </c>
      <c r="AI10" s="5">
        <v>0.68703427719821097</v>
      </c>
      <c r="AJ10" s="5">
        <v>0.76553106212424804</v>
      </c>
      <c r="AK10" s="5">
        <v>0.55766423357664197</v>
      </c>
      <c r="AL10" s="7">
        <f>2 * ((Table245[[#This Row],[Precision]]*Table245[[#This Row],[Recall]])/(Table245[[#This Row],[Precision]]+Table245[[#This Row],[Recall]]))</f>
        <v>0.64527027027026973</v>
      </c>
      <c r="AQ10" s="15">
        <v>16</v>
      </c>
      <c r="AR10" s="1">
        <v>655</v>
      </c>
      <c r="AS10" s="1">
        <v>2</v>
      </c>
      <c r="AT10" s="1">
        <v>655</v>
      </c>
      <c r="AU10" s="1">
        <v>30</v>
      </c>
      <c r="AV10" s="5">
        <v>4.36681222707423E-2</v>
      </c>
      <c r="AW10" s="5">
        <v>3.9940155100209797E-2</v>
      </c>
      <c r="AX10" s="5">
        <v>0.51043219076005897</v>
      </c>
      <c r="AY10" s="5">
        <v>0.9375</v>
      </c>
      <c r="AZ10" s="5">
        <v>4.3795620437956199E-2</v>
      </c>
      <c r="BA10" s="24">
        <f t="shared" si="0"/>
        <v>8.3682008368200833E-2</v>
      </c>
    </row>
    <row r="11" spans="2:53" x14ac:dyDescent="0.25">
      <c r="B11" s="2">
        <v>17</v>
      </c>
      <c r="C11" s="2">
        <v>396</v>
      </c>
      <c r="D11" s="2">
        <v>154</v>
      </c>
      <c r="E11" s="2">
        <v>93</v>
      </c>
      <c r="F11" s="2">
        <v>246</v>
      </c>
      <c r="G11" s="7">
        <v>0.49898580121703801</v>
      </c>
      <c r="H11" s="7">
        <v>0.43079443504047699</v>
      </c>
      <c r="I11" s="7">
        <v>0.72215973003374501</v>
      </c>
      <c r="J11" s="7">
        <v>0.61499999999999999</v>
      </c>
      <c r="K11" s="7">
        <v>0.72566371681415898</v>
      </c>
      <c r="L11" s="7">
        <f>2 * ((Table2[[#This Row],[Precision]]*Table2[[#This Row],[Recall]])/(Table2[[#This Row],[Precision]]+Table2[[#This Row],[Recall]]))</f>
        <v>0.66576454668470897</v>
      </c>
      <c r="O11" s="1">
        <v>17</v>
      </c>
      <c r="P11" s="1">
        <v>535</v>
      </c>
      <c r="Q11" s="1">
        <v>15</v>
      </c>
      <c r="R11" s="1">
        <v>298</v>
      </c>
      <c r="S11" s="1">
        <v>41</v>
      </c>
      <c r="T11" s="5">
        <v>0.115819209039548</v>
      </c>
      <c r="U11" s="5">
        <v>0.11153081066583199</v>
      </c>
      <c r="V11" s="5">
        <v>0.64791901012373398</v>
      </c>
      <c r="W11" s="5">
        <v>0.73214285714285698</v>
      </c>
      <c r="X11" s="5">
        <v>0.12094395280235901</v>
      </c>
      <c r="Y11" s="7">
        <f>2 * ((Table24[[#This Row],[Precision]]*Table24[[#This Row],[Recall]])/(Table24[[#This Row],[Precision]]+Table24[[#This Row],[Recall]]))</f>
        <v>0.20759493670885945</v>
      </c>
      <c r="AB11" s="1">
        <v>17</v>
      </c>
      <c r="AC11" s="1">
        <v>327</v>
      </c>
      <c r="AD11" s="1">
        <v>223</v>
      </c>
      <c r="AE11" s="1">
        <v>99</v>
      </c>
      <c r="AF11" s="1">
        <v>240</v>
      </c>
      <c r="AG11" s="5">
        <v>0.42704626334519502</v>
      </c>
      <c r="AH11" s="5">
        <v>0.28267646292324</v>
      </c>
      <c r="AI11" s="5">
        <v>0.63779527559055105</v>
      </c>
      <c r="AJ11" s="5">
        <v>0.51835853131749399</v>
      </c>
      <c r="AK11" s="5">
        <v>0.70796460176991105</v>
      </c>
      <c r="AL11" s="7">
        <f>2 * ((Table245[[#This Row],[Precision]]*Table245[[#This Row],[Recall]])/(Table245[[#This Row],[Precision]]+Table245[[#This Row],[Recall]]))</f>
        <v>0.59850374064837852</v>
      </c>
      <c r="AQ11" s="22">
        <v>17</v>
      </c>
      <c r="AR11" s="22">
        <v>457</v>
      </c>
      <c r="AS11" s="22">
        <v>93</v>
      </c>
      <c r="AT11" s="22">
        <v>167</v>
      </c>
      <c r="AU11" s="22">
        <v>172</v>
      </c>
      <c r="AV11" s="23">
        <v>0.39814814814814797</v>
      </c>
      <c r="AW11" s="23">
        <v>0.35306729062991499</v>
      </c>
      <c r="AX11" s="23">
        <v>0.70753655793025805</v>
      </c>
      <c r="AY11" s="23">
        <v>0.64905660377358398</v>
      </c>
      <c r="AZ11" s="23">
        <v>0.50737463126843596</v>
      </c>
      <c r="BA11" s="24">
        <f t="shared" si="0"/>
        <v>0.56953642384105874</v>
      </c>
    </row>
    <row r="12" spans="2:53" x14ac:dyDescent="0.25">
      <c r="B12" s="2">
        <v>18</v>
      </c>
      <c r="C12" s="2">
        <v>1166</v>
      </c>
      <c r="D12" s="2">
        <v>162</v>
      </c>
      <c r="E12" s="2">
        <v>33</v>
      </c>
      <c r="F12" s="2">
        <v>102</v>
      </c>
      <c r="G12" s="7">
        <v>0.34343434343434298</v>
      </c>
      <c r="H12" s="7">
        <v>0.44329963294481201</v>
      </c>
      <c r="I12" s="7">
        <v>0.86671223513328699</v>
      </c>
      <c r="J12" s="7">
        <v>0.38636363636363602</v>
      </c>
      <c r="K12" s="7">
        <v>0.75555555555555498</v>
      </c>
      <c r="L12" s="7">
        <f>2 * ((Table2[[#This Row],[Precision]]*Table2[[#This Row],[Recall]])/(Table2[[#This Row],[Precision]]+Table2[[#This Row],[Recall]]))</f>
        <v>0.51127819548872133</v>
      </c>
      <c r="O12" s="1">
        <v>18</v>
      </c>
      <c r="P12" s="1">
        <v>1272</v>
      </c>
      <c r="Q12" s="1">
        <v>56</v>
      </c>
      <c r="R12" s="1">
        <v>100</v>
      </c>
      <c r="S12" s="1">
        <v>35</v>
      </c>
      <c r="T12" s="5">
        <v>0.18324607329842901</v>
      </c>
      <c r="U12" s="5">
        <v>0.25432256884091098</v>
      </c>
      <c r="V12" s="5">
        <v>0.89336978810663004</v>
      </c>
      <c r="W12" s="5">
        <v>0.38461538461538403</v>
      </c>
      <c r="X12" s="5">
        <v>0.25925925925925902</v>
      </c>
      <c r="Y12" s="7">
        <f>2 * ((Table24[[#This Row],[Precision]]*Table24[[#This Row],[Recall]])/(Table24[[#This Row],[Precision]]+Table24[[#This Row],[Recall]]))</f>
        <v>0.30973451327433593</v>
      </c>
      <c r="AB12" s="1">
        <v>18</v>
      </c>
      <c r="AC12" s="1">
        <v>896</v>
      </c>
      <c r="AD12" s="1">
        <v>432</v>
      </c>
      <c r="AE12" s="1">
        <v>32</v>
      </c>
      <c r="AF12" s="1">
        <v>103</v>
      </c>
      <c r="AG12" s="5">
        <v>0.18165784832451401</v>
      </c>
      <c r="AH12" s="5">
        <v>0.18776682301139</v>
      </c>
      <c r="AI12" s="5">
        <v>0.68284347231715603</v>
      </c>
      <c r="AJ12" s="5">
        <v>0.19252336448598101</v>
      </c>
      <c r="AK12" s="5">
        <v>0.76296296296296295</v>
      </c>
      <c r="AL12" s="7">
        <f>2 * ((Table245[[#This Row],[Precision]]*Table245[[#This Row],[Recall]])/(Table245[[#This Row],[Precision]]+Table245[[#This Row],[Recall]]))</f>
        <v>0.30746268656716375</v>
      </c>
      <c r="AQ12" s="1">
        <v>18</v>
      </c>
      <c r="AR12" s="1">
        <v>1255</v>
      </c>
      <c r="AS12" s="1">
        <v>73</v>
      </c>
      <c r="AT12" s="1">
        <v>77</v>
      </c>
      <c r="AU12" s="1">
        <v>58</v>
      </c>
      <c r="AV12" s="5">
        <v>0.27884615384615302</v>
      </c>
      <c r="AW12" s="5">
        <v>0.379713274616436</v>
      </c>
      <c r="AX12" s="5">
        <v>0.89747095010252897</v>
      </c>
      <c r="AY12" s="5">
        <v>0.44274809160305301</v>
      </c>
      <c r="AZ12" s="5">
        <v>0.42962962962962897</v>
      </c>
      <c r="BA12" s="24">
        <f t="shared" si="0"/>
        <v>0.43609022556390925</v>
      </c>
    </row>
    <row r="13" spans="2:53" x14ac:dyDescent="0.25">
      <c r="B13" s="2">
        <v>19</v>
      </c>
      <c r="C13" s="2">
        <v>849</v>
      </c>
      <c r="D13" s="2">
        <v>415</v>
      </c>
      <c r="E13" s="2">
        <v>7</v>
      </c>
      <c r="F13" s="2">
        <v>81</v>
      </c>
      <c r="G13" s="7">
        <v>0.161033797216699</v>
      </c>
      <c r="H13" s="7">
        <v>0.18757404538412401</v>
      </c>
      <c r="I13" s="7">
        <v>0.68786982248520701</v>
      </c>
      <c r="J13" s="7">
        <v>0.163306451612903</v>
      </c>
      <c r="K13" s="7">
        <v>0.92045454545454497</v>
      </c>
      <c r="L13" s="7">
        <f>2 * ((Table2[[#This Row],[Precision]]*Table2[[#This Row],[Recall]])/(Table2[[#This Row],[Precision]]+Table2[[#This Row],[Recall]]))</f>
        <v>0.27739726027397221</v>
      </c>
      <c r="O13" s="1">
        <v>19</v>
      </c>
      <c r="P13" s="1">
        <v>1211</v>
      </c>
      <c r="Q13" s="1">
        <v>53</v>
      </c>
      <c r="R13" s="1">
        <v>57</v>
      </c>
      <c r="S13" s="1">
        <v>31</v>
      </c>
      <c r="T13" s="5">
        <v>0.219858156028368</v>
      </c>
      <c r="U13" s="5">
        <v>0.317046289493019</v>
      </c>
      <c r="V13" s="5">
        <v>0.91863905325443695</v>
      </c>
      <c r="W13" s="5">
        <v>0.36904761904761901</v>
      </c>
      <c r="X13" s="5">
        <v>0.35227272727272702</v>
      </c>
      <c r="Y13" s="7">
        <f>2 * ((Table24[[#This Row],[Precision]]*Table24[[#This Row],[Recall]])/(Table24[[#This Row],[Precision]]+Table24[[#This Row],[Recall]]))</f>
        <v>0.36046511627906963</v>
      </c>
      <c r="AB13" s="1">
        <v>19</v>
      </c>
      <c r="AC13" s="1">
        <v>567</v>
      </c>
      <c r="AD13" s="1">
        <v>697</v>
      </c>
      <c r="AE13" s="1">
        <v>6</v>
      </c>
      <c r="AF13" s="1">
        <v>82</v>
      </c>
      <c r="AG13" s="5">
        <v>0.104458598726114</v>
      </c>
      <c r="AH13" s="5">
        <v>8.1755999536267596E-2</v>
      </c>
      <c r="AI13" s="5">
        <v>0.48002958579881599</v>
      </c>
      <c r="AJ13" s="5">
        <v>0.105263157894736</v>
      </c>
      <c r="AK13" s="5">
        <v>0.93181818181818099</v>
      </c>
      <c r="AL13" s="7">
        <f>2 * ((Table245[[#This Row],[Precision]]*Table245[[#This Row],[Recall]])/(Table245[[#This Row],[Precision]]+Table245[[#This Row],[Recall]]))</f>
        <v>0.18915801614763417</v>
      </c>
      <c r="AQ13" s="22">
        <v>19</v>
      </c>
      <c r="AR13" s="22">
        <v>1107</v>
      </c>
      <c r="AS13" s="22">
        <v>157</v>
      </c>
      <c r="AT13" s="22">
        <v>24</v>
      </c>
      <c r="AU13" s="22">
        <v>64</v>
      </c>
      <c r="AV13" s="23">
        <v>0.261224489795918</v>
      </c>
      <c r="AW13" s="23">
        <v>0.35410376063683702</v>
      </c>
      <c r="AX13" s="23">
        <v>0.86612426035502899</v>
      </c>
      <c r="AY13" s="23">
        <v>0.289592760180995</v>
      </c>
      <c r="AZ13" s="23">
        <v>0.72727272727272696</v>
      </c>
      <c r="BA13" s="24">
        <f t="shared" si="0"/>
        <v>0.41423948220064671</v>
      </c>
    </row>
    <row r="14" spans="2:53" x14ac:dyDescent="0.25">
      <c r="B14" s="2">
        <v>20</v>
      </c>
      <c r="C14" s="2">
        <v>1207</v>
      </c>
      <c r="D14" s="2">
        <v>91</v>
      </c>
      <c r="E14" s="2">
        <v>31</v>
      </c>
      <c r="F14" s="2">
        <v>46</v>
      </c>
      <c r="G14" s="7">
        <v>0.273809523809523</v>
      </c>
      <c r="H14" s="7">
        <v>0.38587306701030899</v>
      </c>
      <c r="I14" s="7">
        <v>0.91127272727272701</v>
      </c>
      <c r="J14" s="7">
        <v>0.33576642335766399</v>
      </c>
      <c r="K14" s="7">
        <v>0.59740259740259705</v>
      </c>
      <c r="L14" s="7">
        <f>2 * ((Table2[[#This Row],[Precision]]*Table2[[#This Row],[Recall]])/(Table2[[#This Row],[Precision]]+Table2[[#This Row],[Recall]]))</f>
        <v>0.42990654205607448</v>
      </c>
      <c r="O14" s="13">
        <v>20</v>
      </c>
      <c r="P14" s="1">
        <v>1275</v>
      </c>
      <c r="Q14" s="1">
        <v>23</v>
      </c>
      <c r="R14" s="1">
        <v>43</v>
      </c>
      <c r="S14" s="1">
        <v>34</v>
      </c>
      <c r="T14" s="5">
        <v>0.34</v>
      </c>
      <c r="U14" s="5">
        <v>0.48282347041123302</v>
      </c>
      <c r="V14" s="5">
        <v>0.95199999999999996</v>
      </c>
      <c r="W14" s="5">
        <v>0.59649122807017496</v>
      </c>
      <c r="X14" s="5">
        <v>0.44155844155844098</v>
      </c>
      <c r="Y14" s="7">
        <f>2 * ((Table24[[#This Row],[Precision]]*Table24[[#This Row],[Recall]])/(Table24[[#This Row],[Precision]]+Table24[[#This Row],[Recall]]))</f>
        <v>0.50746268656716365</v>
      </c>
      <c r="AB14" s="1">
        <v>20</v>
      </c>
      <c r="AC14" s="1">
        <v>820</v>
      </c>
      <c r="AD14" s="1">
        <v>478</v>
      </c>
      <c r="AE14" s="1">
        <v>12</v>
      </c>
      <c r="AF14" s="1">
        <v>65</v>
      </c>
      <c r="AG14" s="5">
        <v>0.117117117117117</v>
      </c>
      <c r="AH14" s="5">
        <v>0.123723139431743</v>
      </c>
      <c r="AI14" s="5">
        <v>0.64363636363636301</v>
      </c>
      <c r="AJ14" s="5">
        <v>0.119705340699815</v>
      </c>
      <c r="AK14" s="5">
        <v>0.84415584415584399</v>
      </c>
      <c r="AL14" s="7">
        <f>2 * ((Table245[[#This Row],[Precision]]*Table245[[#This Row],[Recall]])/(Table245[[#This Row],[Precision]]+Table245[[#This Row],[Recall]]))</f>
        <v>0.20967741935483741</v>
      </c>
      <c r="AQ14" s="1">
        <v>20</v>
      </c>
      <c r="AR14" s="1">
        <v>1259</v>
      </c>
      <c r="AS14" s="1">
        <v>39</v>
      </c>
      <c r="AT14" s="1">
        <v>36</v>
      </c>
      <c r="AU14" s="1">
        <v>41</v>
      </c>
      <c r="AV14" s="5">
        <v>0.35344827586206801</v>
      </c>
      <c r="AW14" s="5">
        <v>0.49338016752229102</v>
      </c>
      <c r="AX14" s="5">
        <v>0.94545454545454499</v>
      </c>
      <c r="AY14" s="5">
        <v>0.51249999999999996</v>
      </c>
      <c r="AZ14" s="5">
        <v>0.53246753246753198</v>
      </c>
      <c r="BA14" s="24">
        <f t="shared" si="0"/>
        <v>0.52229299363057291</v>
      </c>
    </row>
    <row r="15" spans="2:53" x14ac:dyDescent="0.25">
      <c r="B15" s="2">
        <v>21</v>
      </c>
      <c r="C15" s="2">
        <v>855</v>
      </c>
      <c r="D15" s="2">
        <v>41</v>
      </c>
      <c r="E15" s="2">
        <v>44</v>
      </c>
      <c r="F15" s="2">
        <v>100</v>
      </c>
      <c r="G15" s="7">
        <v>0.54054054054054002</v>
      </c>
      <c r="H15" s="7">
        <v>0.65440670544817603</v>
      </c>
      <c r="I15" s="7">
        <v>0.91826923076922995</v>
      </c>
      <c r="J15" s="7">
        <v>0.70921985815602795</v>
      </c>
      <c r="K15" s="7">
        <v>0.69444444444444398</v>
      </c>
      <c r="L15" s="7">
        <f>2 * ((Table2[[#This Row],[Precision]]*Table2[[#This Row],[Recall]])/(Table2[[#This Row],[Precision]]+Table2[[#This Row],[Recall]]))</f>
        <v>0.70175438596491191</v>
      </c>
      <c r="O15" s="1">
        <v>21</v>
      </c>
      <c r="P15" s="1">
        <v>894</v>
      </c>
      <c r="Q15" s="1">
        <v>2</v>
      </c>
      <c r="R15" s="1">
        <v>136</v>
      </c>
      <c r="S15" s="1">
        <v>8</v>
      </c>
      <c r="T15" s="5">
        <v>5.4794520547945202E-2</v>
      </c>
      <c r="U15" s="5">
        <v>8.7487283825024895E-2</v>
      </c>
      <c r="V15" s="5">
        <v>0.867307692307692</v>
      </c>
      <c r="W15" s="5">
        <v>0.8</v>
      </c>
      <c r="X15" s="5">
        <v>5.5555555555555497E-2</v>
      </c>
      <c r="Y15" s="7">
        <f>2 * ((Table24[[#This Row],[Precision]]*Table24[[#This Row],[Recall]])/(Table24[[#This Row],[Precision]]+Table24[[#This Row],[Recall]]))</f>
        <v>0.10389610389610379</v>
      </c>
      <c r="AB15" s="1">
        <v>21</v>
      </c>
      <c r="AC15" s="1">
        <v>707</v>
      </c>
      <c r="AD15" s="1">
        <v>189</v>
      </c>
      <c r="AE15" s="1">
        <v>60</v>
      </c>
      <c r="AF15" s="1">
        <v>84</v>
      </c>
      <c r="AG15" s="5">
        <v>0.25225225225225201</v>
      </c>
      <c r="AH15" s="5">
        <v>0.27065026362038602</v>
      </c>
      <c r="AI15" s="5">
        <v>0.76057692307692304</v>
      </c>
      <c r="AJ15" s="5">
        <v>0.30769230769230699</v>
      </c>
      <c r="AK15" s="5">
        <v>0.58333333333333304</v>
      </c>
      <c r="AL15" s="7">
        <f>2 * ((Table245[[#This Row],[Precision]]*Table245[[#This Row],[Recall]])/(Table245[[#This Row],[Precision]]+Table245[[#This Row],[Recall]]))</f>
        <v>0.40287769784172595</v>
      </c>
      <c r="AQ15" s="22">
        <v>21</v>
      </c>
      <c r="AR15" s="22">
        <v>888</v>
      </c>
      <c r="AS15" s="22">
        <v>8</v>
      </c>
      <c r="AT15" s="22">
        <v>107</v>
      </c>
      <c r="AU15" s="22">
        <v>37</v>
      </c>
      <c r="AV15" s="23">
        <v>0.24342105263157801</v>
      </c>
      <c r="AW15" s="23">
        <v>0.348583877995642</v>
      </c>
      <c r="AX15" s="23">
        <v>0.88942307692307598</v>
      </c>
      <c r="AY15" s="23">
        <v>0.82222222222222197</v>
      </c>
      <c r="AZ15" s="23">
        <v>0.25694444444444398</v>
      </c>
      <c r="BA15" s="24">
        <f t="shared" si="0"/>
        <v>0.39153439153439096</v>
      </c>
    </row>
    <row r="16" spans="2:53" x14ac:dyDescent="0.25">
      <c r="B16" s="2">
        <v>22</v>
      </c>
      <c r="C16" s="2">
        <v>489</v>
      </c>
      <c r="D16" s="2">
        <v>5</v>
      </c>
      <c r="E16" s="2">
        <v>467</v>
      </c>
      <c r="F16" s="2">
        <v>170</v>
      </c>
      <c r="G16" s="7">
        <v>0.26479750778816102</v>
      </c>
      <c r="H16" s="7">
        <v>0.232362507944816</v>
      </c>
      <c r="I16" s="7">
        <v>0.58267020335985797</v>
      </c>
      <c r="J16" s="7">
        <v>0.97142857142857097</v>
      </c>
      <c r="K16" s="7">
        <v>0.26687598116169498</v>
      </c>
      <c r="L16" s="7">
        <f>2 * ((Table2[[#This Row],[Precision]]*Table2[[#This Row],[Recall]])/(Table2[[#This Row],[Precision]]+Table2[[#This Row],[Recall]]))</f>
        <v>0.41871921182265948</v>
      </c>
      <c r="O16" s="1">
        <v>22</v>
      </c>
      <c r="P16" s="1">
        <v>493</v>
      </c>
      <c r="Q16" s="1">
        <v>1</v>
      </c>
      <c r="R16" s="1">
        <v>609</v>
      </c>
      <c r="S16" s="1">
        <v>28</v>
      </c>
      <c r="T16" s="5">
        <v>4.3887147335423198E-2</v>
      </c>
      <c r="U16" s="5">
        <v>3.6842105263157898E-2</v>
      </c>
      <c r="V16" s="5">
        <v>0.46065428824049498</v>
      </c>
      <c r="W16" s="5">
        <v>0.96551724137931005</v>
      </c>
      <c r="X16" s="5">
        <v>4.3956043956043897E-2</v>
      </c>
      <c r="Y16" s="7">
        <f>2 * ((Table24[[#This Row],[Precision]]*Table24[[#This Row],[Recall]])/(Table24[[#This Row],[Precision]]+Table24[[#This Row],[Recall]]))</f>
        <v>8.4084084084083979E-2</v>
      </c>
      <c r="AB16" s="1">
        <v>22</v>
      </c>
      <c r="AC16" s="1">
        <v>430</v>
      </c>
      <c r="AD16" s="1">
        <v>64</v>
      </c>
      <c r="AE16" s="1">
        <v>314</v>
      </c>
      <c r="AF16" s="1">
        <v>323</v>
      </c>
      <c r="AG16" s="5">
        <v>0.46077032810271001</v>
      </c>
      <c r="AH16" s="5">
        <v>0.35721824791837598</v>
      </c>
      <c r="AI16" s="5">
        <v>0.66578249336869999</v>
      </c>
      <c r="AJ16" s="5">
        <v>0.83462532299741599</v>
      </c>
      <c r="AK16" s="5">
        <v>0.50706436420722101</v>
      </c>
      <c r="AL16" s="7">
        <f>2 * ((Table245[[#This Row],[Precision]]*Table245[[#This Row],[Recall]])/(Table245[[#This Row],[Precision]]+Table245[[#This Row],[Recall]]))</f>
        <v>0.63085937499999978</v>
      </c>
      <c r="AQ16" s="1">
        <v>22</v>
      </c>
      <c r="AR16" s="1">
        <v>494</v>
      </c>
      <c r="AS16" s="1">
        <v>0</v>
      </c>
      <c r="AT16" s="1">
        <v>551</v>
      </c>
      <c r="AU16" s="1">
        <v>86</v>
      </c>
      <c r="AV16" s="5">
        <v>0.13500784929356299</v>
      </c>
      <c r="AW16" s="5">
        <v>0.119986048133937</v>
      </c>
      <c r="AX16" s="5">
        <v>0.512820512820512</v>
      </c>
      <c r="AY16" s="5">
        <v>1</v>
      </c>
      <c r="AZ16" s="5">
        <v>0.13500784929356299</v>
      </c>
      <c r="BA16" s="24">
        <f t="shared" si="0"/>
        <v>0.23789764868602953</v>
      </c>
    </row>
    <row r="17" spans="2:53" x14ac:dyDescent="0.25">
      <c r="B17" s="2">
        <v>23</v>
      </c>
      <c r="C17" s="2">
        <v>785</v>
      </c>
      <c r="D17" s="2">
        <v>240</v>
      </c>
      <c r="E17" s="2">
        <v>30</v>
      </c>
      <c r="F17" s="2">
        <v>79</v>
      </c>
      <c r="G17" s="7">
        <v>0.226361031518624</v>
      </c>
      <c r="H17" s="7">
        <v>0.26365407277362202</v>
      </c>
      <c r="I17" s="7">
        <v>0.76190476190476097</v>
      </c>
      <c r="J17" s="7">
        <v>0.24764890282131599</v>
      </c>
      <c r="K17" s="7">
        <v>0.72477064220183396</v>
      </c>
      <c r="L17" s="7">
        <f>2 * ((Table2[[#This Row],[Precision]]*Table2[[#This Row],[Recall]])/(Table2[[#This Row],[Precision]]+Table2[[#This Row],[Recall]]))</f>
        <v>0.36915887850467211</v>
      </c>
      <c r="O17" s="1">
        <v>23</v>
      </c>
      <c r="P17" s="1">
        <v>953</v>
      </c>
      <c r="Q17" s="1">
        <v>72</v>
      </c>
      <c r="R17" s="1">
        <v>86</v>
      </c>
      <c r="S17" s="1">
        <v>23</v>
      </c>
      <c r="T17" s="5">
        <v>0.12707182320441901</v>
      </c>
      <c r="U17" s="5">
        <v>0.14933578950366999</v>
      </c>
      <c r="V17" s="5">
        <v>0.86067019400352696</v>
      </c>
      <c r="W17" s="5">
        <v>0.24210526315789399</v>
      </c>
      <c r="X17" s="5">
        <v>0.21100917431192601</v>
      </c>
      <c r="Y17" s="7">
        <f>2 * ((Table24[[#This Row],[Precision]]*Table24[[#This Row],[Recall]])/(Table24[[#This Row],[Precision]]+Table24[[#This Row],[Recall]]))</f>
        <v>0.22549019607843068</v>
      </c>
      <c r="AB17" s="1">
        <v>23</v>
      </c>
      <c r="AC17" s="1">
        <v>733</v>
      </c>
      <c r="AD17" s="1">
        <v>292</v>
      </c>
      <c r="AE17" s="1">
        <v>28</v>
      </c>
      <c r="AF17" s="1">
        <v>81</v>
      </c>
      <c r="AG17" s="5">
        <v>0.20199501246882701</v>
      </c>
      <c r="AH17" s="5">
        <v>0.22007247342426101</v>
      </c>
      <c r="AI17" s="5">
        <v>0.71781305114638405</v>
      </c>
      <c r="AJ17" s="5">
        <v>0.21715817694369899</v>
      </c>
      <c r="AK17" s="5">
        <v>0.74311926605504497</v>
      </c>
      <c r="AL17" s="7">
        <f>2 * ((Table245[[#This Row],[Precision]]*Table245[[#This Row],[Recall]])/(Table245[[#This Row],[Precision]]+Table245[[#This Row],[Recall]]))</f>
        <v>0.33609958506223964</v>
      </c>
      <c r="AQ17" s="22">
        <v>23</v>
      </c>
      <c r="AR17" s="22">
        <v>901</v>
      </c>
      <c r="AS17" s="22">
        <v>124</v>
      </c>
      <c r="AT17" s="22">
        <v>50</v>
      </c>
      <c r="AU17" s="22">
        <v>59</v>
      </c>
      <c r="AV17" s="23">
        <v>0.25321888412017102</v>
      </c>
      <c r="AW17" s="23">
        <v>0.32248295185314801</v>
      </c>
      <c r="AX17" s="23">
        <v>0.84656084656084596</v>
      </c>
      <c r="AY17" s="23">
        <v>0.32240437158469898</v>
      </c>
      <c r="AZ17" s="23">
        <v>0.54128440366972397</v>
      </c>
      <c r="BA17" s="24">
        <f t="shared" si="0"/>
        <v>0.40410958904109529</v>
      </c>
    </row>
    <row r="18" spans="2:53" x14ac:dyDescent="0.25">
      <c r="B18" s="2">
        <v>24</v>
      </c>
      <c r="C18" s="2">
        <v>1027</v>
      </c>
      <c r="D18" s="2">
        <v>218</v>
      </c>
      <c r="E18" s="2">
        <v>11</v>
      </c>
      <c r="F18" s="2">
        <v>49</v>
      </c>
      <c r="G18" s="7">
        <v>0.17625899280575499</v>
      </c>
      <c r="H18" s="7">
        <v>0.242845741648614</v>
      </c>
      <c r="I18" s="7">
        <v>0.82452107279693398</v>
      </c>
      <c r="J18" s="7">
        <v>0.183520599250936</v>
      </c>
      <c r="K18" s="7">
        <v>0.81666666666666599</v>
      </c>
      <c r="L18" s="7">
        <f>2 * ((Table2[[#This Row],[Precision]]*Table2[[#This Row],[Recall]])/(Table2[[#This Row],[Precision]]+Table2[[#This Row],[Recall]]))</f>
        <v>0.29969418960244593</v>
      </c>
      <c r="O18" s="1">
        <v>24</v>
      </c>
      <c r="P18" s="1">
        <v>1215</v>
      </c>
      <c r="Q18" s="1">
        <v>30</v>
      </c>
      <c r="R18" s="1">
        <v>56</v>
      </c>
      <c r="S18" s="1">
        <v>4</v>
      </c>
      <c r="T18" s="5">
        <v>4.4444444444444398E-2</v>
      </c>
      <c r="U18" s="5">
        <v>5.36301543131791E-2</v>
      </c>
      <c r="V18" s="5">
        <v>0.93409961685823695</v>
      </c>
      <c r="W18" s="5">
        <v>0.11764705882352899</v>
      </c>
      <c r="X18" s="5">
        <v>6.6666666666666596E-2</v>
      </c>
      <c r="Y18" s="7">
        <f>2 * ((Table24[[#This Row],[Precision]]*Table24[[#This Row],[Recall]])/(Table24[[#This Row],[Precision]]+Table24[[#This Row],[Recall]]))</f>
        <v>8.5106382978723236E-2</v>
      </c>
      <c r="AB18" s="1">
        <v>24</v>
      </c>
      <c r="AC18" s="1">
        <v>862</v>
      </c>
      <c r="AD18" s="1">
        <v>383</v>
      </c>
      <c r="AE18" s="1">
        <v>14</v>
      </c>
      <c r="AF18" s="1">
        <v>46</v>
      </c>
      <c r="AG18" s="5">
        <v>0.103837471783295</v>
      </c>
      <c r="AH18" s="5">
        <v>0.116898059369486</v>
      </c>
      <c r="AI18" s="5">
        <v>0.69578544061302605</v>
      </c>
      <c r="AJ18" s="5">
        <v>0.107226107226107</v>
      </c>
      <c r="AK18" s="5">
        <v>0.76666666666666605</v>
      </c>
      <c r="AL18" s="7">
        <f>2 * ((Table245[[#This Row],[Precision]]*Table245[[#This Row],[Recall]])/(Table245[[#This Row],[Precision]]+Table245[[#This Row],[Recall]]))</f>
        <v>0.18813905930470309</v>
      </c>
      <c r="AQ18" s="1">
        <v>24</v>
      </c>
      <c r="AR18" s="1">
        <v>1185</v>
      </c>
      <c r="AS18" s="1">
        <v>60</v>
      </c>
      <c r="AT18" s="1">
        <v>46</v>
      </c>
      <c r="AU18" s="1">
        <v>14</v>
      </c>
      <c r="AV18" s="5">
        <v>0.116666666666666</v>
      </c>
      <c r="AW18" s="5">
        <v>0.166636544370143</v>
      </c>
      <c r="AX18" s="5">
        <v>0.91877394636015297</v>
      </c>
      <c r="AY18" s="5">
        <v>0.18918918918918901</v>
      </c>
      <c r="AZ18" s="5">
        <v>0.233333333333333</v>
      </c>
      <c r="BA18" s="24">
        <f t="shared" si="0"/>
        <v>0.20895522388059679</v>
      </c>
    </row>
    <row r="19" spans="2:53" x14ac:dyDescent="0.25">
      <c r="B19" s="12">
        <v>25</v>
      </c>
      <c r="C19" s="2">
        <v>1500</v>
      </c>
      <c r="D19" s="2">
        <v>181</v>
      </c>
      <c r="E19" s="2">
        <v>3</v>
      </c>
      <c r="F19" s="2">
        <v>13</v>
      </c>
      <c r="G19" s="7">
        <v>6.5989847715736002E-2</v>
      </c>
      <c r="H19" s="7">
        <v>0.108275598151713</v>
      </c>
      <c r="I19" s="7">
        <v>0.89157336476134297</v>
      </c>
      <c r="J19" s="7">
        <v>6.7010309278350499E-2</v>
      </c>
      <c r="K19" s="7">
        <v>0.8125</v>
      </c>
      <c r="L19" s="7">
        <f>2 * ((Table2[[#This Row],[Precision]]*Table2[[#This Row],[Recall]])/(Table2[[#This Row],[Precision]]+Table2[[#This Row],[Recall]]))</f>
        <v>0.12380952380952379</v>
      </c>
      <c r="O19" s="14">
        <v>25</v>
      </c>
      <c r="P19" s="1">
        <v>1657</v>
      </c>
      <c r="Q19" s="1">
        <v>24</v>
      </c>
      <c r="R19" s="1">
        <v>16</v>
      </c>
      <c r="S19" s="1">
        <v>0</v>
      </c>
      <c r="T19" s="5">
        <v>0</v>
      </c>
      <c r="U19" s="5">
        <v>-1.14435570389792E-2</v>
      </c>
      <c r="V19" s="5">
        <v>0.97642899233942204</v>
      </c>
      <c r="W19" s="5">
        <v>0.01</v>
      </c>
      <c r="X19" s="5">
        <v>0</v>
      </c>
      <c r="Y19" s="7">
        <f>2 * ((Table24[[#This Row],[Precision]]*Table24[[#This Row],[Recall]])/(Table24[[#This Row],[Precision]]+Table24[[#This Row],[Recall]]))</f>
        <v>0</v>
      </c>
      <c r="AB19" s="16">
        <v>25</v>
      </c>
      <c r="AC19" s="1">
        <v>1069</v>
      </c>
      <c r="AD19" s="1">
        <v>612</v>
      </c>
      <c r="AE19" s="1">
        <v>1</v>
      </c>
      <c r="AF19" s="1">
        <v>15</v>
      </c>
      <c r="AG19" s="5">
        <v>2.3885350318471301E-2</v>
      </c>
      <c r="AH19" s="5">
        <v>2.8798243312759899E-2</v>
      </c>
      <c r="AI19" s="5">
        <v>0.63877430760164999</v>
      </c>
      <c r="AJ19" s="5">
        <v>2.3923444976076499E-2</v>
      </c>
      <c r="AK19" s="5">
        <v>0.9375</v>
      </c>
      <c r="AL19" s="7">
        <f>2 * ((Table245[[#This Row],[Precision]]*Table245[[#This Row],[Recall]])/(Table245[[#This Row],[Precision]]+Table245[[#This Row],[Recall]]))</f>
        <v>4.6656298600310939E-2</v>
      </c>
      <c r="AQ19" s="16">
        <v>25</v>
      </c>
      <c r="AR19" s="22">
        <v>1624</v>
      </c>
      <c r="AS19" s="22">
        <v>57</v>
      </c>
      <c r="AT19" s="22">
        <v>13</v>
      </c>
      <c r="AU19" s="22">
        <v>3</v>
      </c>
      <c r="AV19" s="23">
        <v>4.1095890410958902E-2</v>
      </c>
      <c r="AW19" s="23">
        <v>6.5028492270881103E-2</v>
      </c>
      <c r="AX19" s="23">
        <v>0.95875073659398902</v>
      </c>
      <c r="AY19" s="23">
        <v>0.05</v>
      </c>
      <c r="AZ19" s="23">
        <v>0.1875</v>
      </c>
      <c r="BA19" s="24">
        <f t="shared" si="0"/>
        <v>7.8947368421052641E-2</v>
      </c>
    </row>
    <row r="20" spans="2:53" x14ac:dyDescent="0.25">
      <c r="B20" s="11">
        <v>26</v>
      </c>
      <c r="C20" s="2">
        <v>706</v>
      </c>
      <c r="D20" s="2">
        <v>54</v>
      </c>
      <c r="E20" s="2">
        <v>40</v>
      </c>
      <c r="F20" s="2">
        <v>114</v>
      </c>
      <c r="G20" s="7">
        <v>0.54807692307692302</v>
      </c>
      <c r="H20" s="7">
        <v>0.64580069589881395</v>
      </c>
      <c r="I20" s="7">
        <v>0.897155361050328</v>
      </c>
      <c r="J20" s="7">
        <v>0.67857142857142805</v>
      </c>
      <c r="K20" s="7">
        <v>0.74025974025973995</v>
      </c>
      <c r="L20" s="7">
        <f>2 * ((Table2[[#This Row],[Precision]]*Table2[[#This Row],[Recall]])/(Table2[[#This Row],[Precision]]+Table2[[#This Row],[Recall]]))</f>
        <v>0.70807453416149024</v>
      </c>
      <c r="O20" s="1">
        <v>26</v>
      </c>
      <c r="P20" s="1">
        <v>753</v>
      </c>
      <c r="Q20" s="1">
        <v>7</v>
      </c>
      <c r="R20" s="1">
        <v>124</v>
      </c>
      <c r="S20" s="1">
        <v>30</v>
      </c>
      <c r="T20" s="5">
        <v>0.18633540372670801</v>
      </c>
      <c r="U20" s="5">
        <v>0.26623687016632103</v>
      </c>
      <c r="V20" s="5">
        <v>0.85667396061269097</v>
      </c>
      <c r="W20" s="5">
        <v>0.81081081081080997</v>
      </c>
      <c r="X20" s="5">
        <v>0.19480519480519401</v>
      </c>
      <c r="Y20" s="7">
        <f>2 * ((Table24[[#This Row],[Precision]]*Table24[[#This Row],[Recall]])/(Table24[[#This Row],[Precision]]+Table24[[#This Row],[Recall]]))</f>
        <v>0.31413612565444915</v>
      </c>
      <c r="AB20" s="1">
        <v>26</v>
      </c>
      <c r="AC20" s="1">
        <v>580</v>
      </c>
      <c r="AD20" s="1">
        <v>180</v>
      </c>
      <c r="AE20" s="1">
        <v>25</v>
      </c>
      <c r="AF20" s="1">
        <v>129</v>
      </c>
      <c r="AG20" s="5">
        <v>0.38622754491017902</v>
      </c>
      <c r="AH20" s="5">
        <v>0.42876741562757198</v>
      </c>
      <c r="AI20" s="5">
        <v>0.775711159737417</v>
      </c>
      <c r="AJ20" s="5">
        <v>0.41747572815533901</v>
      </c>
      <c r="AK20" s="5">
        <v>0.837662337662337</v>
      </c>
      <c r="AL20" s="7">
        <f>2 * ((Table245[[#This Row],[Precision]]*Table245[[#This Row],[Recall]])/(Table245[[#This Row],[Precision]]+Table245[[#This Row],[Recall]]))</f>
        <v>0.55723542116630587</v>
      </c>
      <c r="AQ20" s="1">
        <v>26</v>
      </c>
      <c r="AR20" s="1">
        <v>746</v>
      </c>
      <c r="AS20" s="1">
        <v>14</v>
      </c>
      <c r="AT20" s="1">
        <v>84</v>
      </c>
      <c r="AU20" s="1">
        <v>70</v>
      </c>
      <c r="AV20" s="5">
        <v>0.41666666666666602</v>
      </c>
      <c r="AW20" s="5">
        <v>0.53265157048940803</v>
      </c>
      <c r="AX20" s="5">
        <v>0.89277899343544798</v>
      </c>
      <c r="AY20" s="5">
        <v>0.83333333333333304</v>
      </c>
      <c r="AZ20" s="5">
        <v>0.45454545454545398</v>
      </c>
      <c r="BA20" s="24">
        <f t="shared" si="0"/>
        <v>0.58823529411764652</v>
      </c>
    </row>
    <row r="21" spans="2:53" x14ac:dyDescent="0.25">
      <c r="B21" s="2">
        <v>27</v>
      </c>
      <c r="C21" s="2">
        <v>1090</v>
      </c>
      <c r="D21" s="2">
        <v>257</v>
      </c>
      <c r="E21" s="2">
        <v>8</v>
      </c>
      <c r="F21" s="2">
        <v>32</v>
      </c>
      <c r="G21" s="7">
        <v>0.107744107744107</v>
      </c>
      <c r="H21" s="7">
        <v>0.15154096347439799</v>
      </c>
      <c r="I21" s="7">
        <v>0.808940158615717</v>
      </c>
      <c r="J21" s="7">
        <v>0.110726643598615</v>
      </c>
      <c r="K21" s="7">
        <v>0.8</v>
      </c>
      <c r="L21" s="7">
        <f>2 * ((Table2[[#This Row],[Precision]]*Table2[[#This Row],[Recall]])/(Table2[[#This Row],[Precision]]+Table2[[#This Row],[Recall]]))</f>
        <v>0.19452887537993782</v>
      </c>
      <c r="O21" s="1">
        <v>27</v>
      </c>
      <c r="P21" s="1">
        <v>1318</v>
      </c>
      <c r="Q21" s="1">
        <v>29</v>
      </c>
      <c r="R21" s="1">
        <v>39</v>
      </c>
      <c r="S21" s="1">
        <v>1</v>
      </c>
      <c r="T21" s="5">
        <v>1.4492753623188401E-2</v>
      </c>
      <c r="U21" s="5">
        <v>3.9497307001807799E-3</v>
      </c>
      <c r="V21" s="5">
        <v>0.950973323720259</v>
      </c>
      <c r="W21" s="5">
        <v>3.3333333333333298E-2</v>
      </c>
      <c r="X21" s="5">
        <v>2.5000000000000001E-2</v>
      </c>
      <c r="Y21" s="7">
        <f>2 * ((Table24[[#This Row],[Precision]]*Table24[[#This Row],[Recall]])/(Table24[[#This Row],[Precision]]+Table24[[#This Row],[Recall]]))</f>
        <v>2.857142857142856E-2</v>
      </c>
      <c r="AB21" s="1">
        <v>27</v>
      </c>
      <c r="AC21" s="1">
        <v>674</v>
      </c>
      <c r="AD21" s="1">
        <v>673</v>
      </c>
      <c r="AE21" s="1">
        <v>8</v>
      </c>
      <c r="AF21" s="1">
        <v>32</v>
      </c>
      <c r="AG21" s="5">
        <v>4.4880785413744698E-2</v>
      </c>
      <c r="AH21" s="5">
        <v>3.3132872358393503E-2</v>
      </c>
      <c r="AI21" s="5">
        <v>0.50901225666906902</v>
      </c>
      <c r="AJ21" s="5">
        <v>4.5390070921985798E-2</v>
      </c>
      <c r="AK21" s="5">
        <v>0.8</v>
      </c>
      <c r="AL21" s="7">
        <f>2 * ((Table245[[#This Row],[Precision]]*Table245[[#This Row],[Recall]])/(Table245[[#This Row],[Precision]]+Table245[[#This Row],[Recall]]))</f>
        <v>8.5906040268456343E-2</v>
      </c>
      <c r="AQ21" s="22">
        <v>27</v>
      </c>
      <c r="AR21" s="22">
        <v>1282</v>
      </c>
      <c r="AS21" s="22">
        <v>65</v>
      </c>
      <c r="AT21" s="22">
        <v>31</v>
      </c>
      <c r="AU21" s="22">
        <v>9</v>
      </c>
      <c r="AV21" s="23">
        <v>8.5714285714285701E-2</v>
      </c>
      <c r="AW21" s="23">
        <v>0.125139620757171</v>
      </c>
      <c r="AX21" s="23">
        <v>0.93078586878154201</v>
      </c>
      <c r="AY21" s="23">
        <v>0.121621621621621</v>
      </c>
      <c r="AZ21" s="23">
        <v>0.22500000000000001</v>
      </c>
      <c r="BA21" s="24">
        <f t="shared" si="0"/>
        <v>0.15789473684210475</v>
      </c>
    </row>
    <row r="22" spans="2:53" x14ac:dyDescent="0.25">
      <c r="B22" s="2">
        <v>28</v>
      </c>
      <c r="C22" s="2">
        <v>1190</v>
      </c>
      <c r="D22" s="2">
        <v>119</v>
      </c>
      <c r="E22" s="2">
        <v>31</v>
      </c>
      <c r="F22" s="2">
        <v>22</v>
      </c>
      <c r="G22" s="7">
        <v>0.127906976744186</v>
      </c>
      <c r="H22" s="7">
        <v>0.18044624160589201</v>
      </c>
      <c r="I22" s="7">
        <v>0.889867841409691</v>
      </c>
      <c r="J22" s="7">
        <v>0.15602836879432599</v>
      </c>
      <c r="K22" s="7">
        <v>0.41509433962264097</v>
      </c>
      <c r="L22" s="7">
        <f>2 * ((Table2[[#This Row],[Precision]]*Table2[[#This Row],[Recall]])/(Table2[[#This Row],[Precision]]+Table2[[#This Row],[Recall]]))</f>
        <v>0.22680412371133984</v>
      </c>
      <c r="O22" s="1">
        <v>28</v>
      </c>
      <c r="P22" s="1">
        <v>1286</v>
      </c>
      <c r="Q22" s="1">
        <v>23</v>
      </c>
      <c r="R22" s="1">
        <v>46</v>
      </c>
      <c r="S22" s="1">
        <v>7</v>
      </c>
      <c r="T22" s="5">
        <v>9.2105263157894704E-2</v>
      </c>
      <c r="U22" s="5">
        <v>0.14461252798864099</v>
      </c>
      <c r="V22" s="5">
        <v>0.94933920704845798</v>
      </c>
      <c r="W22" s="5">
        <v>0.233333333333333</v>
      </c>
      <c r="X22" s="5">
        <v>0.13207547169811301</v>
      </c>
      <c r="Y22" s="7">
        <f>2 * ((Table24[[#This Row],[Precision]]*Table24[[#This Row],[Recall]])/(Table24[[#This Row],[Precision]]+Table24[[#This Row],[Recall]]))</f>
        <v>0.16867469879518046</v>
      </c>
      <c r="AB22" s="1">
        <v>28</v>
      </c>
      <c r="AC22" s="1">
        <v>969</v>
      </c>
      <c r="AD22" s="1">
        <v>340</v>
      </c>
      <c r="AE22" s="1">
        <v>23</v>
      </c>
      <c r="AF22" s="1">
        <v>30</v>
      </c>
      <c r="AG22" s="5">
        <v>7.6335877862595394E-2</v>
      </c>
      <c r="AH22" s="5">
        <v>7.9157245402361201E-2</v>
      </c>
      <c r="AI22" s="5">
        <v>0.73348017621145301</v>
      </c>
      <c r="AJ22" s="5">
        <v>8.1081081081081002E-2</v>
      </c>
      <c r="AK22" s="5">
        <v>0.56603773584905603</v>
      </c>
      <c r="AL22" s="7">
        <f>2 * ((Table245[[#This Row],[Precision]]*Table245[[#This Row],[Recall]])/(Table245[[#This Row],[Precision]]+Table245[[#This Row],[Recall]]))</f>
        <v>0.14184397163120552</v>
      </c>
      <c r="AQ22" s="1">
        <v>28</v>
      </c>
      <c r="AR22" s="1">
        <v>1280</v>
      </c>
      <c r="AS22" s="1">
        <v>29</v>
      </c>
      <c r="AT22" s="1">
        <v>38</v>
      </c>
      <c r="AU22" s="1">
        <v>15</v>
      </c>
      <c r="AV22" s="5">
        <v>0.18292682926829201</v>
      </c>
      <c r="AW22" s="5">
        <v>0.28400156924283998</v>
      </c>
      <c r="AX22" s="5">
        <v>0.95080763582966199</v>
      </c>
      <c r="AY22" s="5">
        <v>0.34090909090909</v>
      </c>
      <c r="AZ22" s="5">
        <v>0.28301886792452802</v>
      </c>
      <c r="BA22" s="24">
        <f t="shared" si="0"/>
        <v>0.30927835051546337</v>
      </c>
    </row>
    <row r="23" spans="2:53" x14ac:dyDescent="0.25">
      <c r="B23" s="2">
        <v>29</v>
      </c>
      <c r="C23" s="2">
        <v>828</v>
      </c>
      <c r="D23" s="2">
        <v>61</v>
      </c>
      <c r="E23" s="2">
        <v>5</v>
      </c>
      <c r="F23" s="2">
        <v>69</v>
      </c>
      <c r="G23" s="7">
        <v>0.51111111111111096</v>
      </c>
      <c r="H23" s="7">
        <v>0.64134482992122399</v>
      </c>
      <c r="I23" s="7">
        <v>0.93146417445482799</v>
      </c>
      <c r="J23" s="7">
        <v>0.53076923076922999</v>
      </c>
      <c r="K23" s="7">
        <v>0.93243243243243201</v>
      </c>
      <c r="L23" s="7">
        <f>2 * ((Table2[[#This Row],[Precision]]*Table2[[#This Row],[Recall]])/(Table2[[#This Row],[Precision]]+Table2[[#This Row],[Recall]]))</f>
        <v>0.67647058823529338</v>
      </c>
      <c r="O23" s="1">
        <v>29</v>
      </c>
      <c r="P23" s="1">
        <v>882</v>
      </c>
      <c r="Q23" s="1">
        <v>7</v>
      </c>
      <c r="R23" s="1">
        <v>53</v>
      </c>
      <c r="S23" s="1">
        <v>21</v>
      </c>
      <c r="T23" s="5">
        <v>0.25925925925925902</v>
      </c>
      <c r="U23" s="5">
        <v>0.38585489254055</v>
      </c>
      <c r="V23" s="5">
        <v>0.93769470404984401</v>
      </c>
      <c r="W23" s="5">
        <v>0.75</v>
      </c>
      <c r="X23" s="5">
        <v>0.28378378378378299</v>
      </c>
      <c r="Y23" s="7">
        <f>2 * ((Table24[[#This Row],[Precision]]*Table24[[#This Row],[Recall]])/(Table24[[#This Row],[Precision]]+Table24[[#This Row],[Recall]]))</f>
        <v>0.41176470588235214</v>
      </c>
      <c r="AB23" s="1">
        <v>29</v>
      </c>
      <c r="AC23" s="1">
        <v>690</v>
      </c>
      <c r="AD23" s="1">
        <v>199</v>
      </c>
      <c r="AE23" s="1">
        <v>5</v>
      </c>
      <c r="AF23" s="1">
        <v>69</v>
      </c>
      <c r="AG23" s="5">
        <v>0.25274725274725202</v>
      </c>
      <c r="AH23" s="5">
        <v>0.32183566807740799</v>
      </c>
      <c r="AI23" s="5">
        <v>0.78816199376947005</v>
      </c>
      <c r="AJ23" s="5">
        <v>0.25746268656716398</v>
      </c>
      <c r="AK23" s="5">
        <v>0.93243243243243201</v>
      </c>
      <c r="AL23" s="7">
        <f>2 * ((Table245[[#This Row],[Precision]]*Table245[[#This Row],[Recall]])/(Table245[[#This Row],[Precision]]+Table245[[#This Row],[Recall]]))</f>
        <v>0.40350877192982432</v>
      </c>
      <c r="AQ23" s="25">
        <v>29</v>
      </c>
      <c r="AR23" s="22">
        <v>856</v>
      </c>
      <c r="AS23" s="22">
        <v>33</v>
      </c>
      <c r="AT23" s="22">
        <v>18</v>
      </c>
      <c r="AU23" s="22">
        <v>56</v>
      </c>
      <c r="AV23" s="23">
        <v>0.52336448598130803</v>
      </c>
      <c r="AW23" s="23">
        <v>0.65845601785850805</v>
      </c>
      <c r="AX23" s="23">
        <v>0.94704049844236704</v>
      </c>
      <c r="AY23" s="23">
        <v>0.62921348314606695</v>
      </c>
      <c r="AZ23" s="23">
        <v>0.75675675675675602</v>
      </c>
      <c r="BA23" s="24">
        <f t="shared" si="0"/>
        <v>0.68711656441717739</v>
      </c>
    </row>
    <row r="24" spans="2:53" x14ac:dyDescent="0.25">
      <c r="B24" s="2">
        <v>30</v>
      </c>
      <c r="C24" s="2">
        <v>640</v>
      </c>
      <c r="D24" s="2">
        <v>9</v>
      </c>
      <c r="E24" s="2">
        <v>94</v>
      </c>
      <c r="F24" s="2">
        <v>35</v>
      </c>
      <c r="G24" s="7">
        <v>0.25362318840579701</v>
      </c>
      <c r="H24" s="7">
        <v>0.34978335307768399</v>
      </c>
      <c r="I24" s="7">
        <v>0.86760925449871396</v>
      </c>
      <c r="J24" s="7">
        <v>0.79545454545454497</v>
      </c>
      <c r="K24" s="7">
        <v>0.27131782945736399</v>
      </c>
      <c r="L24" s="7">
        <f>2 * ((Table2[[#This Row],[Precision]]*Table2[[#This Row],[Recall]])/(Table2[[#This Row],[Precision]]+Table2[[#This Row],[Recall]]))</f>
        <v>0.40462427745664692</v>
      </c>
      <c r="O24" s="1">
        <v>30</v>
      </c>
      <c r="P24" s="1">
        <v>649</v>
      </c>
      <c r="Q24" s="1">
        <v>0</v>
      </c>
      <c r="R24" s="1">
        <v>123</v>
      </c>
      <c r="S24" s="1">
        <v>6</v>
      </c>
      <c r="T24" s="5">
        <v>4.6511627906976702E-2</v>
      </c>
      <c r="U24" s="5">
        <v>7.5259465414275195E-2</v>
      </c>
      <c r="V24" s="5">
        <v>0.84190231362467804</v>
      </c>
      <c r="W24" s="5">
        <v>1</v>
      </c>
      <c r="X24" s="5">
        <v>4.6511627906976702E-2</v>
      </c>
      <c r="Y24" s="7">
        <f>2 * ((Table24[[#This Row],[Precision]]*Table24[[#This Row],[Recall]])/(Table24[[#This Row],[Precision]]+Table24[[#This Row],[Recall]]))</f>
        <v>8.8888888888888823E-2</v>
      </c>
      <c r="AB24" s="1">
        <v>30</v>
      </c>
      <c r="AC24" s="1">
        <v>509</v>
      </c>
      <c r="AD24" s="1">
        <v>140</v>
      </c>
      <c r="AE24" s="1">
        <v>49</v>
      </c>
      <c r="AF24" s="1">
        <v>80</v>
      </c>
      <c r="AG24" s="5">
        <v>0.29739776951672803</v>
      </c>
      <c r="AH24" s="5">
        <v>0.31532580251627301</v>
      </c>
      <c r="AI24" s="5">
        <v>0.757069408740359</v>
      </c>
      <c r="AJ24" s="5">
        <v>0.36363636363636298</v>
      </c>
      <c r="AK24" s="5">
        <v>0.62015503875968903</v>
      </c>
      <c r="AL24" s="7">
        <f>2 * ((Table245[[#This Row],[Precision]]*Table245[[#This Row],[Recall]])/(Table245[[#This Row],[Precision]]+Table245[[#This Row],[Recall]]))</f>
        <v>0.45845272206303644</v>
      </c>
      <c r="AQ24" s="1">
        <v>30</v>
      </c>
      <c r="AR24" s="1">
        <v>647</v>
      </c>
      <c r="AS24" s="1">
        <v>2</v>
      </c>
      <c r="AT24" s="1">
        <v>101</v>
      </c>
      <c r="AU24" s="1">
        <v>28</v>
      </c>
      <c r="AV24" s="5">
        <v>0.213740458015267</v>
      </c>
      <c r="AW24" s="5">
        <v>0.30896328107483501</v>
      </c>
      <c r="AX24" s="5">
        <v>0.86760925449871396</v>
      </c>
      <c r="AY24" s="5">
        <v>0.93333333333333302</v>
      </c>
      <c r="AZ24" s="5">
        <v>0.217054263565891</v>
      </c>
      <c r="BA24" s="24">
        <f t="shared" si="0"/>
        <v>0.35220125786163453</v>
      </c>
    </row>
    <row r="25" spans="2:53" x14ac:dyDescent="0.25">
      <c r="B25" s="3" t="s">
        <v>11</v>
      </c>
      <c r="C25" s="3">
        <f t="shared" ref="C25:K25" si="1">AVERAGE(C5:C24)</f>
        <v>936.05</v>
      </c>
      <c r="D25" s="3">
        <f t="shared" si="1"/>
        <v>117.1</v>
      </c>
      <c r="E25" s="3">
        <f t="shared" si="1"/>
        <v>101.6</v>
      </c>
      <c r="F25" s="3">
        <f t="shared" si="1"/>
        <v>77.099999999999994</v>
      </c>
      <c r="G25" s="6">
        <f t="shared" si="1"/>
        <v>0.27055213593809396</v>
      </c>
      <c r="H25" s="6">
        <f t="shared" si="1"/>
        <v>0.32809277689675859</v>
      </c>
      <c r="I25" s="6">
        <f t="shared" si="1"/>
        <v>0.82261276519611903</v>
      </c>
      <c r="J25" s="6">
        <f t="shared" si="1"/>
        <v>0.46936967821397924</v>
      </c>
      <c r="K25" s="6">
        <f t="shared" si="1"/>
        <v>0.5863595337538392</v>
      </c>
      <c r="L25" s="6">
        <f>2 * ((Table2[[#This Row],[Precision]]*Table2[[#This Row],[Recall]])/(Table2[[#This Row],[Precision]]+Table2[[#This Row],[Recall]]))</f>
        <v>0.52138253361909981</v>
      </c>
      <c r="O25" s="3" t="s">
        <v>11</v>
      </c>
      <c r="P25" s="3">
        <f t="shared" ref="P25:X25" si="2">AVERAGE(P5:P24)</f>
        <v>1032.95</v>
      </c>
      <c r="Q25" s="3">
        <f t="shared" si="2"/>
        <v>20.2</v>
      </c>
      <c r="R25" s="3">
        <f t="shared" si="2"/>
        <v>160.30000000000001</v>
      </c>
      <c r="S25" s="3">
        <f t="shared" si="2"/>
        <v>18.399999999999999</v>
      </c>
      <c r="T25" s="6">
        <f t="shared" si="2"/>
        <v>0.11611922210832068</v>
      </c>
      <c r="U25" s="6">
        <f t="shared" si="2"/>
        <v>0.16122689058496542</v>
      </c>
      <c r="V25" s="6">
        <f t="shared" si="2"/>
        <v>0.84775696096413888</v>
      </c>
      <c r="W25" s="6">
        <f t="shared" si="2"/>
        <v>0.53954598440878054</v>
      </c>
      <c r="X25" s="6">
        <f t="shared" si="2"/>
        <v>0.15378423731177132</v>
      </c>
      <c r="Y25" s="6">
        <f>2 * ((Table24[[#This Row],[Precision]]*Table24[[#This Row],[Recall]])/(Table24[[#This Row],[Precision]]+Table24[[#This Row],[Recall]]))</f>
        <v>0.23934819255686759</v>
      </c>
      <c r="AB25" s="3" t="s">
        <v>11</v>
      </c>
      <c r="AC25" s="3">
        <f t="shared" ref="AC25:AK25" si="3">AVERAGE(AC5:AC24)</f>
        <v>708.6</v>
      </c>
      <c r="AD25" s="3">
        <f t="shared" si="3"/>
        <v>344.55</v>
      </c>
      <c r="AE25" s="3">
        <f t="shared" si="3"/>
        <v>61.7</v>
      </c>
      <c r="AF25" s="3">
        <f t="shared" si="3"/>
        <v>117</v>
      </c>
      <c r="AG25" s="6">
        <f t="shared" si="3"/>
        <v>0.22153734601925423</v>
      </c>
      <c r="AH25" s="6">
        <f t="shared" si="3"/>
        <v>0.21088710312294207</v>
      </c>
      <c r="AI25" s="6">
        <f t="shared" si="3"/>
        <v>0.6753300431062581</v>
      </c>
      <c r="AJ25" s="6">
        <f t="shared" si="3"/>
        <v>0.27781376359374044</v>
      </c>
      <c r="AK25" s="6">
        <f t="shared" si="3"/>
        <v>0.73712999379228683</v>
      </c>
      <c r="AL25" s="6">
        <f>2 * ((Table245[[#This Row],[Precision]]*Table245[[#This Row],[Recall]])/(Table245[[#This Row],[Precision]]+Table245[[#This Row],[Recall]]))</f>
        <v>0.40353932194368303</v>
      </c>
      <c r="AQ25" s="3" t="s">
        <v>11</v>
      </c>
      <c r="AR25" s="3">
        <f t="shared" ref="AR25:AZ25" si="4">AVERAGE(AR5:AR24)</f>
        <v>1010.1</v>
      </c>
      <c r="AS25" s="3">
        <f t="shared" si="4"/>
        <v>43.05</v>
      </c>
      <c r="AT25" s="3">
        <f t="shared" si="4"/>
        <v>136</v>
      </c>
      <c r="AU25" s="3">
        <f t="shared" si="4"/>
        <v>42.7</v>
      </c>
      <c r="AV25" s="6">
        <f t="shared" si="4"/>
        <v>0.2085395054263382</v>
      </c>
      <c r="AW25" s="6">
        <f t="shared" si="4"/>
        <v>0.27455602593520545</v>
      </c>
      <c r="AX25" s="6">
        <f t="shared" si="4"/>
        <v>0.85161287298065658</v>
      </c>
      <c r="AY25" s="6">
        <f t="shared" si="4"/>
        <v>0.55222510679528281</v>
      </c>
      <c r="AZ25" s="6">
        <f t="shared" si="4"/>
        <v>0.33136136987055997</v>
      </c>
      <c r="BA25" s="24">
        <f>2*((AY25*AZ25)/(AY25+AZ25))</f>
        <v>0.41418938088569995</v>
      </c>
    </row>
    <row r="26" spans="2:53" x14ac:dyDescent="0.25">
      <c r="B26" s="2" t="s">
        <v>19</v>
      </c>
      <c r="C26" s="2">
        <f>MEDIAN(C5:C24)</f>
        <v>975.5</v>
      </c>
      <c r="D26" s="2">
        <f t="shared" ref="D26:L26" si="5">MEDIAN(D5:D24)</f>
        <v>99.5</v>
      </c>
      <c r="E26" s="2">
        <f t="shared" si="5"/>
        <v>32.5</v>
      </c>
      <c r="F26" s="2">
        <f t="shared" si="5"/>
        <v>63.5</v>
      </c>
      <c r="G26" s="2">
        <f t="shared" si="5"/>
        <v>0.23999210996221049</v>
      </c>
      <c r="H26" s="2">
        <f t="shared" si="5"/>
        <v>0.25324990721111801</v>
      </c>
      <c r="I26" s="7">
        <f>MEDIAN(I5:I24)</f>
        <v>0.86513577858359247</v>
      </c>
      <c r="J26" s="2">
        <f t="shared" si="5"/>
        <v>0.45856643356643301</v>
      </c>
      <c r="K26" s="2">
        <f t="shared" si="5"/>
        <v>0.70960754332313902</v>
      </c>
      <c r="L26" s="2">
        <f t="shared" si="5"/>
        <v>0.38689157798065954</v>
      </c>
      <c r="O26" s="2" t="s">
        <v>20</v>
      </c>
      <c r="P26" s="2">
        <f>MEDIAN(P5:P24)</f>
        <v>1048.5</v>
      </c>
      <c r="Q26" s="2">
        <f t="shared" ref="Q26:Y26" si="6">MEDIAN(Q5:Q24)</f>
        <v>17.5</v>
      </c>
      <c r="R26" s="2">
        <f t="shared" si="6"/>
        <v>93</v>
      </c>
      <c r="S26" s="2">
        <f t="shared" si="6"/>
        <v>18.5</v>
      </c>
      <c r="T26" s="2">
        <f t="shared" si="6"/>
        <v>8.5137085137085095E-2</v>
      </c>
      <c r="U26" s="2">
        <f t="shared" si="6"/>
        <v>0.116023644636592</v>
      </c>
      <c r="V26" s="2">
        <f t="shared" si="6"/>
        <v>0.88099373589640306</v>
      </c>
      <c r="W26" s="2">
        <f t="shared" si="6"/>
        <v>0.63157894736842046</v>
      </c>
      <c r="X26" s="2">
        <f t="shared" si="6"/>
        <v>0.10458762231541445</v>
      </c>
      <c r="Y26" s="2">
        <f t="shared" si="6"/>
        <v>0.15686274509803882</v>
      </c>
      <c r="AB26" s="2" t="s">
        <v>19</v>
      </c>
      <c r="AC26" s="2">
        <f>MEDIAN(AC5:AC24)</f>
        <v>687.5</v>
      </c>
      <c r="AD26" s="2">
        <f t="shared" ref="AD26:AL26" si="7">MEDIAN(AD5:AD24)</f>
        <v>324</v>
      </c>
      <c r="AE26" s="2">
        <f t="shared" si="7"/>
        <v>26.5</v>
      </c>
      <c r="AF26" s="2">
        <f t="shared" si="7"/>
        <v>81.5</v>
      </c>
      <c r="AG26" s="2">
        <f t="shared" si="7"/>
        <v>0.22712363236053951</v>
      </c>
      <c r="AH26" s="2">
        <f t="shared" si="7"/>
        <v>0.21201322245075749</v>
      </c>
      <c r="AI26" s="2">
        <f t="shared" si="7"/>
        <v>0.68493887475768345</v>
      </c>
      <c r="AJ26" s="2">
        <f t="shared" si="7"/>
        <v>0.23731043175543148</v>
      </c>
      <c r="AK26" s="2">
        <f t="shared" si="7"/>
        <v>0.7648148148148145</v>
      </c>
      <c r="AL26" s="2">
        <f t="shared" si="7"/>
        <v>0.36948864145198279</v>
      </c>
      <c r="AQ26" t="s">
        <v>19</v>
      </c>
      <c r="AR26">
        <f>MEDIAN(AR5:AR24)</f>
        <v>1049</v>
      </c>
      <c r="AS26">
        <f t="shared" ref="AS26:AZ26" si="8">MEDIAN(AS5:AS24)</f>
        <v>31</v>
      </c>
      <c r="AT26">
        <f t="shared" si="8"/>
        <v>63.5</v>
      </c>
      <c r="AU26">
        <f t="shared" si="8"/>
        <v>36.5</v>
      </c>
      <c r="AV26">
        <f t="shared" si="8"/>
        <v>0.18646341463414601</v>
      </c>
      <c r="AW26">
        <f t="shared" si="8"/>
        <v>0.28796674778137199</v>
      </c>
      <c r="AX26">
        <f t="shared" si="8"/>
        <v>0.89110103517926198</v>
      </c>
      <c r="AY26">
        <f t="shared" si="8"/>
        <v>0.57085674157303345</v>
      </c>
      <c r="AZ26">
        <f t="shared" si="8"/>
        <v>0.24513888888888849</v>
      </c>
    </row>
    <row r="27" spans="2:53" x14ac:dyDescent="0.25">
      <c r="B27" s="2"/>
      <c r="C27" s="2"/>
      <c r="D27" s="2"/>
      <c r="E27" s="2"/>
      <c r="F27" s="2"/>
      <c r="G27" s="7">
        <f>MAX(G5:G24)</f>
        <v>0.54807692307692302</v>
      </c>
      <c r="H27" s="7"/>
      <c r="I27" s="7"/>
      <c r="J27" s="7"/>
      <c r="K27" s="7"/>
      <c r="L27" s="7"/>
      <c r="O27" s="2" t="s">
        <v>21</v>
      </c>
      <c r="P27" s="2"/>
      <c r="Q27" s="2"/>
      <c r="R27" s="2"/>
      <c r="S27" s="2"/>
      <c r="T27" s="7">
        <f>MAX(T5:T24)</f>
        <v>0.34</v>
      </c>
      <c r="U27" s="7"/>
      <c r="V27" s="7"/>
      <c r="W27" s="7"/>
      <c r="X27" s="7"/>
      <c r="Y27" s="7" t="e">
        <f>2 * ((Table24[[#This Row],[Precision]]*Table24[[#This Row],[Recall]])/(Table24[[#This Row],[Precision]]+Table24[[#This Row],[Recall]]))</f>
        <v>#DIV/0!</v>
      </c>
      <c r="AB27" s="2" t="s">
        <v>23</v>
      </c>
      <c r="AC27" s="2"/>
      <c r="AD27" s="2"/>
      <c r="AE27" s="2"/>
      <c r="AF27" s="2"/>
      <c r="AG27" s="7">
        <f>MAX(AG5:AG24)</f>
        <v>0.47630922693266797</v>
      </c>
      <c r="AH27" s="7"/>
      <c r="AI27" s="7"/>
      <c r="AJ27" s="7"/>
      <c r="AK27" s="7"/>
      <c r="AL27" s="7" t="e">
        <f>2 * ((Table245[[#This Row],[Precision]]*Table245[[#This Row],[Recall]])/(Table245[[#This Row],[Precision]]+Table245[[#This Row],[Recall]]))</f>
        <v>#DIV/0!</v>
      </c>
      <c r="AQ27" t="s">
        <v>26</v>
      </c>
      <c r="AV27" s="10">
        <f>MAX(AV5:AV24)</f>
        <v>0.52336448598130803</v>
      </c>
    </row>
    <row r="28" spans="2:53" x14ac:dyDescent="0.25">
      <c r="G28" s="10">
        <f>MIN(G5:G24)</f>
        <v>6.5989847715736002E-2</v>
      </c>
      <c r="O28" s="2" t="s">
        <v>22</v>
      </c>
      <c r="P28" s="2"/>
      <c r="Q28" s="2"/>
      <c r="R28" s="2"/>
      <c r="S28" s="2"/>
      <c r="T28" s="7">
        <f>MIN(T5:T24)</f>
        <v>0</v>
      </c>
      <c r="U28" s="7"/>
      <c r="V28" s="7"/>
      <c r="W28" s="7"/>
      <c r="X28" s="7"/>
      <c r="Y28" s="7" t="e">
        <f>2 * ((Table24[[#This Row],[Precision]]*Table24[[#This Row],[Recall]])/(Table24[[#This Row],[Precision]]+Table24[[#This Row],[Recall]]))</f>
        <v>#DIV/0!</v>
      </c>
      <c r="AB28" s="2" t="s">
        <v>24</v>
      </c>
      <c r="AC28" s="2"/>
      <c r="AD28" s="2"/>
      <c r="AE28" s="2"/>
      <c r="AF28" s="2"/>
      <c r="AG28" s="7">
        <f>MIN(AG5:AG24)</f>
        <v>2.3885350318471301E-2</v>
      </c>
      <c r="AH28" s="7"/>
      <c r="AI28" s="7"/>
      <c r="AJ28" s="7"/>
      <c r="AK28" s="7"/>
      <c r="AL28" s="7" t="e">
        <f>2 * ((Table245[[#This Row],[Precision]]*Table245[[#This Row],[Recall]])/(Table245[[#This Row],[Precision]]+Table245[[#This Row],[Recall]]))</f>
        <v>#DIV/0!</v>
      </c>
      <c r="AQ28" t="s">
        <v>27</v>
      </c>
      <c r="AV28" s="10">
        <f>MIN(AV5:AV24)</f>
        <v>4.1095890410958902E-2</v>
      </c>
    </row>
    <row r="31" spans="2:53" x14ac:dyDescent="0.25">
      <c r="C31">
        <f>SUM(C5:G24)</f>
        <v>24642.411042718762</v>
      </c>
      <c r="D31">
        <f>C31+'2014 data'!C38</f>
        <v>62591.411042718762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3DAED9-513C-4A42-8291-4D14593D05D6}">
  <dimension ref="B3:AY39"/>
  <sheetViews>
    <sheetView topLeftCell="AE13" workbookViewId="0">
      <selection activeCell="AW32" sqref="AW32:AW33"/>
    </sheetView>
  </sheetViews>
  <sheetFormatPr defaultRowHeight="15" x14ac:dyDescent="0.25"/>
  <cols>
    <col min="2" max="2" width="13.85546875" customWidth="1"/>
    <col min="3" max="3" width="9.28515625" customWidth="1"/>
    <col min="7" max="7" width="12.85546875" customWidth="1"/>
    <col min="8" max="8" width="12.5703125" customWidth="1"/>
    <col min="9" max="9" width="14" customWidth="1"/>
    <col min="10" max="10" width="13.5703125" customWidth="1"/>
    <col min="11" max="11" width="14.85546875" customWidth="1"/>
    <col min="19" max="19" width="12.42578125" customWidth="1"/>
    <col min="20" max="20" width="11" customWidth="1"/>
    <col min="21" max="21" width="12.5703125" customWidth="1"/>
    <col min="22" max="22" width="12.140625" customWidth="1"/>
    <col min="23" max="23" width="12.42578125" customWidth="1"/>
    <col min="26" max="26" width="10.7109375" customWidth="1"/>
    <col min="27" max="27" width="10.28515625" customWidth="1"/>
    <col min="28" max="28" width="10.140625" customWidth="1"/>
    <col min="31" max="31" width="13.85546875" customWidth="1"/>
    <col min="32" max="32" width="11.7109375" customWidth="1"/>
    <col min="33" max="33" width="11.85546875" customWidth="1"/>
    <col min="34" max="34" width="11.5703125" customWidth="1"/>
    <col min="35" max="35" width="12.42578125" customWidth="1"/>
    <col min="41" max="41" width="10.140625" customWidth="1"/>
    <col min="44" max="44" width="13.85546875" customWidth="1"/>
    <col min="45" max="45" width="11.7109375" customWidth="1"/>
    <col min="46" max="46" width="11.85546875" customWidth="1"/>
    <col min="47" max="47" width="11.5703125" customWidth="1"/>
    <col min="48" max="48" width="12.42578125" customWidth="1"/>
  </cols>
  <sheetData>
    <row r="3" spans="2:51" x14ac:dyDescent="0.25">
      <c r="C3" s="4" t="s">
        <v>0</v>
      </c>
      <c r="R3" s="4" t="s">
        <v>12</v>
      </c>
      <c r="AE3" s="4" t="s">
        <v>13</v>
      </c>
      <c r="AR3" s="4" t="s">
        <v>25</v>
      </c>
    </row>
    <row r="4" spans="2:51" x14ac:dyDescent="0.25">
      <c r="B4" s="2" t="s">
        <v>1</v>
      </c>
      <c r="C4" s="2" t="s">
        <v>2</v>
      </c>
      <c r="D4" s="2" t="s">
        <v>3</v>
      </c>
      <c r="E4" s="2" t="s">
        <v>4</v>
      </c>
      <c r="F4" s="2" t="s">
        <v>5</v>
      </c>
      <c r="G4" s="2" t="s">
        <v>6</v>
      </c>
      <c r="H4" s="2" t="s">
        <v>7</v>
      </c>
      <c r="I4" s="2" t="s">
        <v>8</v>
      </c>
      <c r="J4" s="2" t="s">
        <v>9</v>
      </c>
      <c r="K4" s="2" t="s">
        <v>10</v>
      </c>
      <c r="L4" s="2" t="s">
        <v>14</v>
      </c>
      <c r="O4" s="2" t="s">
        <v>1</v>
      </c>
      <c r="P4" s="2" t="s">
        <v>2</v>
      </c>
      <c r="Q4" s="2" t="s">
        <v>3</v>
      </c>
      <c r="R4" s="2" t="s">
        <v>4</v>
      </c>
      <c r="S4" s="2" t="s">
        <v>5</v>
      </c>
      <c r="T4" s="2" t="s">
        <v>6</v>
      </c>
      <c r="U4" s="2" t="s">
        <v>7</v>
      </c>
      <c r="V4" s="2" t="s">
        <v>8</v>
      </c>
      <c r="W4" s="2" t="s">
        <v>9</v>
      </c>
      <c r="X4" s="2" t="s">
        <v>10</v>
      </c>
      <c r="Y4" s="2" t="s">
        <v>14</v>
      </c>
      <c r="AB4" s="2" t="s">
        <v>1</v>
      </c>
      <c r="AC4" s="2" t="s">
        <v>2</v>
      </c>
      <c r="AD4" s="2" t="s">
        <v>3</v>
      </c>
      <c r="AE4" s="2" t="s">
        <v>4</v>
      </c>
      <c r="AF4" s="2" t="s">
        <v>5</v>
      </c>
      <c r="AG4" s="2" t="s">
        <v>6</v>
      </c>
      <c r="AH4" s="2" t="s">
        <v>7</v>
      </c>
      <c r="AI4" s="2" t="s">
        <v>8</v>
      </c>
      <c r="AJ4" s="2" t="s">
        <v>9</v>
      </c>
      <c r="AK4" s="2" t="s">
        <v>10</v>
      </c>
      <c r="AL4" s="2" t="s">
        <v>14</v>
      </c>
      <c r="AO4" s="2" t="s">
        <v>1</v>
      </c>
      <c r="AP4" s="2" t="s">
        <v>2</v>
      </c>
      <c r="AQ4" s="2" t="s">
        <v>3</v>
      </c>
      <c r="AR4" s="2" t="s">
        <v>4</v>
      </c>
      <c r="AS4" s="2" t="s">
        <v>5</v>
      </c>
      <c r="AT4" s="2" t="s">
        <v>6</v>
      </c>
      <c r="AU4" s="2" t="s">
        <v>7</v>
      </c>
      <c r="AV4" s="2" t="s">
        <v>8</v>
      </c>
      <c r="AW4" s="2" t="s">
        <v>9</v>
      </c>
      <c r="AX4" s="2" t="s">
        <v>10</v>
      </c>
      <c r="AY4" s="2" t="s">
        <v>14</v>
      </c>
    </row>
    <row r="5" spans="2:51" x14ac:dyDescent="0.25">
      <c r="B5" s="2">
        <v>1</v>
      </c>
      <c r="C5" s="2">
        <v>1162</v>
      </c>
      <c r="D5" s="2">
        <v>219</v>
      </c>
      <c r="E5" s="2">
        <v>13</v>
      </c>
      <c r="F5" s="2">
        <v>69</v>
      </c>
      <c r="G5" s="7">
        <v>0.22923588039867099</v>
      </c>
      <c r="H5" s="7">
        <v>0.31303154562639801</v>
      </c>
      <c r="I5" s="7">
        <v>0.84142173615857796</v>
      </c>
      <c r="J5" s="7">
        <v>0.23958333333333301</v>
      </c>
      <c r="K5" s="7">
        <v>0.84146341463414598</v>
      </c>
      <c r="L5" s="7">
        <f>2 * ((Table26[[#This Row],[Precision]]*Table26[[#This Row],[Recall]])/(Table26[[#This Row],[Precision]]+Table26[[#This Row],[Recall]]))</f>
        <v>0.37297297297297255</v>
      </c>
      <c r="O5" s="2">
        <v>1</v>
      </c>
      <c r="P5" s="2">
        <v>1351</v>
      </c>
      <c r="Q5" s="2">
        <v>30</v>
      </c>
      <c r="R5" s="2">
        <v>48</v>
      </c>
      <c r="S5" s="2">
        <v>34</v>
      </c>
      <c r="T5" s="7">
        <v>0.30357142857142799</v>
      </c>
      <c r="U5" s="7">
        <v>0.43814438065602501</v>
      </c>
      <c r="V5" s="7">
        <v>0.94668489405331502</v>
      </c>
      <c r="W5" s="7">
        <v>0.53125</v>
      </c>
      <c r="X5" s="7">
        <v>0.41463414634146301</v>
      </c>
      <c r="Y5" s="7">
        <f>2 * ((Table269[[#This Row],[Precision]]*Table269[[#This Row],[Recall]])/(Table269[[#This Row],[Precision]]+Table269[[#This Row],[Recall]]))</f>
        <v>0.465753424657534</v>
      </c>
      <c r="AB5" s="2">
        <v>1</v>
      </c>
      <c r="AC5" s="2">
        <v>709</v>
      </c>
      <c r="AD5" s="2">
        <v>672</v>
      </c>
      <c r="AE5" s="2">
        <v>10</v>
      </c>
      <c r="AF5" s="2">
        <v>72</v>
      </c>
      <c r="AG5" s="7">
        <v>9.5490716180371304E-2</v>
      </c>
      <c r="AH5" s="7">
        <v>8.1603649410634096E-2</v>
      </c>
      <c r="AI5" s="7">
        <v>0.533834586466165</v>
      </c>
      <c r="AJ5" s="7">
        <v>9.6774193548387094E-2</v>
      </c>
      <c r="AK5" s="7">
        <v>0.87804878048780399</v>
      </c>
      <c r="AL5" s="7">
        <f>2*((Table2458[[#This Row],[Precision]]*Table2458[[#This Row],[Recall]])/(Table2458[[#This Row],[Recall]]+Table2458[[#This Row],[Precision]]))</f>
        <v>0.17433414043583531</v>
      </c>
      <c r="AO5" s="2">
        <v>1</v>
      </c>
      <c r="AP5" s="2">
        <v>1310</v>
      </c>
      <c r="AQ5" s="2">
        <v>71</v>
      </c>
      <c r="AR5" s="2">
        <v>22</v>
      </c>
      <c r="AS5" s="2">
        <v>60</v>
      </c>
      <c r="AT5" s="7">
        <v>0.39215686274509798</v>
      </c>
      <c r="AU5" s="7">
        <v>0.53104933910076302</v>
      </c>
      <c r="AV5" s="7">
        <v>0.93643198906356795</v>
      </c>
      <c r="AW5" s="7">
        <v>0.45801526717557201</v>
      </c>
      <c r="AX5" s="7">
        <v>0.73170731707317005</v>
      </c>
      <c r="AY5" s="7">
        <f>2*((Table24582[[#This Row],[Precision]]*Table24582[[#This Row],[Recall]])/ (Table24582[[#This Row],[Precision]]+Table24582[[#This Row],[Recall]]))</f>
        <v>0.56338028169014021</v>
      </c>
    </row>
    <row r="6" spans="2:51" x14ac:dyDescent="0.25">
      <c r="B6" s="17">
        <v>2</v>
      </c>
      <c r="C6" s="2">
        <v>1011</v>
      </c>
      <c r="D6" s="2">
        <v>6</v>
      </c>
      <c r="E6" s="2">
        <v>248</v>
      </c>
      <c r="F6" s="2">
        <v>12</v>
      </c>
      <c r="G6" s="7">
        <v>4.5112781954887202E-2</v>
      </c>
      <c r="H6" s="7">
        <v>6.1589024608993598E-2</v>
      </c>
      <c r="I6" s="7">
        <v>0.80109631949882498</v>
      </c>
      <c r="J6" s="7">
        <v>0.66666666666666596</v>
      </c>
      <c r="K6" s="7">
        <v>4.6153846153846101E-2</v>
      </c>
      <c r="L6" s="7">
        <f>2 * ((Table26[[#This Row],[Precision]]*Table26[[#This Row],[Recall]])/(Table26[[#This Row],[Precision]]+Table26[[#This Row],[Recall]]))</f>
        <v>8.6330935251798468E-2</v>
      </c>
      <c r="O6" s="2">
        <v>2</v>
      </c>
      <c r="P6" s="2">
        <v>1016</v>
      </c>
      <c r="Q6" s="2">
        <v>1</v>
      </c>
      <c r="R6" s="2">
        <v>250</v>
      </c>
      <c r="S6" s="2">
        <v>10</v>
      </c>
      <c r="T6" s="7">
        <v>3.8314176245210697E-2</v>
      </c>
      <c r="U6" s="7">
        <v>5.8234684013669102E-2</v>
      </c>
      <c r="V6" s="7">
        <v>0.80344557556773599</v>
      </c>
      <c r="W6" s="7">
        <v>0.90909090909090895</v>
      </c>
      <c r="X6" s="7">
        <v>3.8461538461538401E-2</v>
      </c>
      <c r="Y6" s="7">
        <f>2 * ((Table269[[#This Row],[Precision]]*Table269[[#This Row],[Recall]])/(Table269[[#This Row],[Precision]]+Table269[[#This Row],[Recall]]))</f>
        <v>7.3800738007379962E-2</v>
      </c>
      <c r="AB6" s="2">
        <v>2</v>
      </c>
      <c r="AC6" s="2">
        <v>789</v>
      </c>
      <c r="AD6" s="2">
        <v>228</v>
      </c>
      <c r="AE6" s="2">
        <v>113</v>
      </c>
      <c r="AF6" s="2">
        <v>147</v>
      </c>
      <c r="AG6" s="7">
        <v>0.30122950819672101</v>
      </c>
      <c r="AH6" s="7">
        <v>0.29296876902718699</v>
      </c>
      <c r="AI6" s="7">
        <v>0.73296789350039104</v>
      </c>
      <c r="AJ6" s="7">
        <v>0.39200000000000002</v>
      </c>
      <c r="AK6" s="7">
        <v>0.56538461538461504</v>
      </c>
      <c r="AL6" s="7">
        <f>2*((Table2458[[#This Row],[Precision]]*Table2458[[#This Row],[Recall]])/(Table2458[[#This Row],[Recall]]+Table2458[[#This Row],[Precision]]))</f>
        <v>0.46299212598425188</v>
      </c>
      <c r="AO6" s="12">
        <v>2</v>
      </c>
      <c r="AP6" s="2">
        <v>1015</v>
      </c>
      <c r="AQ6" s="2">
        <v>2</v>
      </c>
      <c r="AR6" s="2">
        <v>248</v>
      </c>
      <c r="AS6" s="2">
        <v>12</v>
      </c>
      <c r="AT6" s="7">
        <v>4.5801526717557203E-2</v>
      </c>
      <c r="AU6" s="7">
        <v>6.8204239123455399E-2</v>
      </c>
      <c r="AV6" s="7">
        <v>0.80422866092404</v>
      </c>
      <c r="AW6" s="7">
        <v>0.85714285714285698</v>
      </c>
      <c r="AX6" s="7">
        <v>4.6153846153846101E-2</v>
      </c>
      <c r="AY6" s="7">
        <f>2*((Table24582[[#This Row],[Precision]]*Table24582[[#This Row],[Recall]])/ (Table24582[[#This Row],[Precision]]+Table24582[[#This Row],[Recall]]))</f>
        <v>8.7591240875912316E-2</v>
      </c>
    </row>
    <row r="7" spans="2:51" x14ac:dyDescent="0.25">
      <c r="B7" s="2">
        <v>3</v>
      </c>
      <c r="C7" s="2">
        <v>1268</v>
      </c>
      <c r="D7" s="2">
        <v>148</v>
      </c>
      <c r="E7" s="2">
        <v>7</v>
      </c>
      <c r="F7" s="2">
        <v>41</v>
      </c>
      <c r="G7" s="7">
        <v>0.20918367346938699</v>
      </c>
      <c r="H7" s="7">
        <v>0.30990438654112801</v>
      </c>
      <c r="I7" s="7">
        <v>0.89412568306010898</v>
      </c>
      <c r="J7" s="7">
        <v>0.216931216931216</v>
      </c>
      <c r="K7" s="7">
        <v>0.85416666666666596</v>
      </c>
      <c r="L7" s="7">
        <f>2 * ((Table26[[#This Row],[Precision]]*Table26[[#This Row],[Recall]])/(Table26[[#This Row],[Precision]]+Table26[[#This Row],[Recall]]))</f>
        <v>0.34599156118143337</v>
      </c>
      <c r="O7" s="2">
        <v>3</v>
      </c>
      <c r="P7" s="2">
        <v>1387</v>
      </c>
      <c r="Q7" s="2">
        <v>29</v>
      </c>
      <c r="R7" s="2">
        <v>26</v>
      </c>
      <c r="S7" s="2">
        <v>22</v>
      </c>
      <c r="T7" s="7">
        <v>0.28571428571428498</v>
      </c>
      <c r="U7" s="7">
        <v>0.42502142245072899</v>
      </c>
      <c r="V7" s="7">
        <v>0.96243169398907102</v>
      </c>
      <c r="W7" s="7">
        <v>0.43137254901960698</v>
      </c>
      <c r="X7" s="7">
        <v>0.45833333333333298</v>
      </c>
      <c r="Y7" s="7">
        <f>2 * ((Table269[[#This Row],[Precision]]*Table269[[#This Row],[Recall]])/(Table269[[#This Row],[Precision]]+Table269[[#This Row],[Recall]]))</f>
        <v>0.44444444444444381</v>
      </c>
      <c r="AB7" s="2">
        <v>3</v>
      </c>
      <c r="AC7" s="2">
        <v>880</v>
      </c>
      <c r="AD7" s="2">
        <v>536</v>
      </c>
      <c r="AE7" s="2">
        <v>5</v>
      </c>
      <c r="AF7" s="2">
        <v>43</v>
      </c>
      <c r="AG7" s="7">
        <v>7.3630136986301303E-2</v>
      </c>
      <c r="AH7" s="7">
        <v>8.15451838245526E-2</v>
      </c>
      <c r="AI7" s="7">
        <v>0.63046448087431695</v>
      </c>
      <c r="AJ7" s="7">
        <v>7.4265975820379901E-2</v>
      </c>
      <c r="AK7" s="7">
        <v>0.89583333333333304</v>
      </c>
      <c r="AL7" s="7">
        <f>2*((Table2458[[#This Row],[Precision]]*Table2458[[#This Row],[Recall]])/(Table2458[[#This Row],[Recall]]+Table2458[[#This Row],[Precision]]))</f>
        <v>0.13716108452950548</v>
      </c>
      <c r="AO7" s="2">
        <v>3</v>
      </c>
      <c r="AP7" s="2">
        <v>1357</v>
      </c>
      <c r="AQ7" s="2">
        <v>59</v>
      </c>
      <c r="AR7" s="2">
        <v>16</v>
      </c>
      <c r="AS7" s="2">
        <v>32</v>
      </c>
      <c r="AT7" s="7">
        <v>0.29906542056074698</v>
      </c>
      <c r="AU7" s="7">
        <v>0.43622920517560099</v>
      </c>
      <c r="AV7" s="7">
        <v>0.94877049180327799</v>
      </c>
      <c r="AW7" s="7">
        <v>0.35164835164835101</v>
      </c>
      <c r="AX7" s="7">
        <v>0.66666666666666596</v>
      </c>
      <c r="AY7" s="7">
        <f>2*((Table24582[[#This Row],[Precision]]*Table24582[[#This Row],[Recall]])/ (Table24582[[#This Row],[Precision]]+Table24582[[#This Row],[Recall]]))</f>
        <v>0.4604316546762583</v>
      </c>
    </row>
    <row r="8" spans="2:51" x14ac:dyDescent="0.25">
      <c r="B8" s="2">
        <v>4</v>
      </c>
      <c r="C8" s="2">
        <v>1032</v>
      </c>
      <c r="D8" s="2">
        <v>40</v>
      </c>
      <c r="E8" s="2">
        <v>11</v>
      </c>
      <c r="F8" s="2">
        <v>66</v>
      </c>
      <c r="G8" s="7">
        <v>0.56410256410256399</v>
      </c>
      <c r="H8" s="7">
        <v>0.69785452426743899</v>
      </c>
      <c r="I8" s="7">
        <v>0.95561357702349803</v>
      </c>
      <c r="J8" s="7">
        <v>0.62264150943396201</v>
      </c>
      <c r="K8" s="7">
        <v>0.85714285714285698</v>
      </c>
      <c r="L8" s="7">
        <f>2 * ((Table26[[#This Row],[Precision]]*Table26[[#This Row],[Recall]])/(Table26[[#This Row],[Precision]]+Table26[[#This Row],[Recall]]))</f>
        <v>0.72131147540983576</v>
      </c>
      <c r="O8" s="2">
        <v>4</v>
      </c>
      <c r="P8" s="2">
        <v>1057</v>
      </c>
      <c r="Q8" s="2">
        <v>15</v>
      </c>
      <c r="R8" s="2">
        <v>39</v>
      </c>
      <c r="S8" s="2">
        <v>38</v>
      </c>
      <c r="T8" s="7">
        <v>0.41304347826086901</v>
      </c>
      <c r="U8" s="7">
        <v>0.56060563140898501</v>
      </c>
      <c r="V8" s="7">
        <v>0.95300261096605698</v>
      </c>
      <c r="W8" s="7">
        <v>0.71698113207547098</v>
      </c>
      <c r="X8" s="7">
        <v>0.493506493506493</v>
      </c>
      <c r="Y8" s="7">
        <f>2 * ((Table269[[#This Row],[Precision]]*Table269[[#This Row],[Recall]])/(Table269[[#This Row],[Precision]]+Table269[[#This Row],[Recall]]))</f>
        <v>0.58461538461538398</v>
      </c>
      <c r="AB8" s="2">
        <v>4</v>
      </c>
      <c r="AC8" s="2">
        <v>639</v>
      </c>
      <c r="AD8" s="2">
        <v>433</v>
      </c>
      <c r="AE8" s="2">
        <v>3</v>
      </c>
      <c r="AF8" s="2">
        <v>74</v>
      </c>
      <c r="AG8" s="7">
        <v>0.14509803921568601</v>
      </c>
      <c r="AH8" s="7">
        <v>0.15511571192940901</v>
      </c>
      <c r="AI8" s="7">
        <v>0.620539599651871</v>
      </c>
      <c r="AJ8" s="7">
        <v>0.145956607495069</v>
      </c>
      <c r="AK8" s="7">
        <v>0.96103896103896103</v>
      </c>
      <c r="AL8" s="7">
        <f>2*((Table2458[[#This Row],[Precision]]*Table2458[[#This Row],[Recall]])/(Table2458[[#This Row],[Recall]]+Table2458[[#This Row],[Precision]]))</f>
        <v>0.25342465753424653</v>
      </c>
      <c r="AO8" s="2">
        <v>4</v>
      </c>
      <c r="AP8" s="2">
        <v>1030</v>
      </c>
      <c r="AQ8" s="2">
        <v>42</v>
      </c>
      <c r="AR8" s="2">
        <v>11</v>
      </c>
      <c r="AS8" s="2">
        <v>66</v>
      </c>
      <c r="AT8" s="7">
        <v>0.55462184873949505</v>
      </c>
      <c r="AU8" s="7">
        <v>0.68919477576518495</v>
      </c>
      <c r="AV8" s="7">
        <v>0.95387293298520404</v>
      </c>
      <c r="AW8" s="7">
        <v>0.61111111111111105</v>
      </c>
      <c r="AX8" s="7">
        <v>0.85714285714285698</v>
      </c>
      <c r="AY8" s="7">
        <f>2*((Table24582[[#This Row],[Precision]]*Table24582[[#This Row],[Recall]])/ (Table24582[[#This Row],[Precision]]+Table24582[[#This Row],[Recall]]))</f>
        <v>0.71351351351351344</v>
      </c>
    </row>
    <row r="9" spans="2:51" x14ac:dyDescent="0.25">
      <c r="B9" s="2">
        <v>5</v>
      </c>
      <c r="C9" s="2">
        <v>1309</v>
      </c>
      <c r="D9" s="2">
        <v>52</v>
      </c>
      <c r="E9" s="2">
        <v>53</v>
      </c>
      <c r="F9" s="2">
        <v>80</v>
      </c>
      <c r="G9" s="7">
        <v>0.43243243243243201</v>
      </c>
      <c r="H9" s="7">
        <v>0.56521377612957902</v>
      </c>
      <c r="I9" s="7">
        <v>0.92971887550200805</v>
      </c>
      <c r="J9" s="7">
        <v>0.60606060606060597</v>
      </c>
      <c r="K9" s="7">
        <v>0.60150375939849599</v>
      </c>
      <c r="L9" s="7">
        <f>2 * ((Table26[[#This Row],[Precision]]*Table26[[#This Row],[Recall]])/(Table26[[#This Row],[Precision]]+Table26[[#This Row],[Recall]]))</f>
        <v>0.60377358490566024</v>
      </c>
      <c r="O9" s="2">
        <v>5</v>
      </c>
      <c r="P9" s="2">
        <v>1348</v>
      </c>
      <c r="Q9" s="2">
        <v>13</v>
      </c>
      <c r="R9" s="2">
        <v>107</v>
      </c>
      <c r="S9" s="2">
        <v>26</v>
      </c>
      <c r="T9" s="7">
        <v>0.17808219178082099</v>
      </c>
      <c r="U9" s="7">
        <v>0.27297501155745901</v>
      </c>
      <c r="V9" s="7">
        <v>0.91967871485943697</v>
      </c>
      <c r="W9" s="7">
        <v>0.66666666666666596</v>
      </c>
      <c r="X9" s="7">
        <v>0.19548872180451099</v>
      </c>
      <c r="Y9" s="7">
        <f>2 * ((Table269[[#This Row],[Precision]]*Table269[[#This Row],[Recall]])/(Table269[[#This Row],[Precision]]+Table269[[#This Row],[Recall]]))</f>
        <v>0.30232558139534838</v>
      </c>
      <c r="AB9" s="2">
        <v>5</v>
      </c>
      <c r="AC9" s="2">
        <v>888</v>
      </c>
      <c r="AD9" s="2">
        <v>473</v>
      </c>
      <c r="AE9" s="2">
        <v>50</v>
      </c>
      <c r="AF9" s="2">
        <v>83</v>
      </c>
      <c r="AG9" s="7">
        <v>0.13696369636963601</v>
      </c>
      <c r="AH9" s="7">
        <v>0.113569378424676</v>
      </c>
      <c r="AI9" s="7">
        <v>0.64993306559571595</v>
      </c>
      <c r="AJ9" s="7">
        <v>0.149280575539568</v>
      </c>
      <c r="AK9" s="7">
        <v>0.62406015037593898</v>
      </c>
      <c r="AL9" s="7">
        <f>2*((Table2458[[#This Row],[Precision]]*Table2458[[#This Row],[Recall]])/(Table2458[[#This Row],[Recall]]+Table2458[[#This Row],[Precision]]))</f>
        <v>0.24092888243831589</v>
      </c>
      <c r="AO9" s="2">
        <v>5</v>
      </c>
      <c r="AP9" s="2">
        <v>1335</v>
      </c>
      <c r="AQ9" s="2">
        <v>26</v>
      </c>
      <c r="AR9" s="2">
        <v>84</v>
      </c>
      <c r="AS9" s="2">
        <v>49</v>
      </c>
      <c r="AT9" s="7">
        <v>0.30817610062893003</v>
      </c>
      <c r="AU9" s="7">
        <v>0.43487321270142498</v>
      </c>
      <c r="AV9" s="7">
        <v>0.92637215528781702</v>
      </c>
      <c r="AW9" s="7">
        <v>0.65333333333333299</v>
      </c>
      <c r="AX9" s="7">
        <v>0.36842105263157798</v>
      </c>
      <c r="AY9" s="7">
        <f>2*((Table24582[[#This Row],[Precision]]*Table24582[[#This Row],[Recall]])/ (Table24582[[#This Row],[Precision]]+Table24582[[#This Row],[Recall]]))</f>
        <v>0.47115384615384531</v>
      </c>
    </row>
    <row r="10" spans="2:51" x14ac:dyDescent="0.25">
      <c r="B10" s="2">
        <v>6</v>
      </c>
      <c r="C10" s="2">
        <v>1279</v>
      </c>
      <c r="D10" s="2">
        <v>79</v>
      </c>
      <c r="E10" s="2">
        <v>147</v>
      </c>
      <c r="F10" s="2">
        <v>33</v>
      </c>
      <c r="G10" s="7">
        <v>0.12741312741312699</v>
      </c>
      <c r="H10" s="7">
        <v>0.14968589153962</v>
      </c>
      <c r="I10" s="7">
        <v>0.85305591677503201</v>
      </c>
      <c r="J10" s="7">
        <v>0.29464285714285698</v>
      </c>
      <c r="K10" s="7">
        <v>0.18333333333333299</v>
      </c>
      <c r="L10" s="7">
        <f>2 * ((Table26[[#This Row],[Precision]]*Table26[[#This Row],[Recall]])/(Table26[[#This Row],[Precision]]+Table26[[#This Row],[Recall]]))</f>
        <v>0.22602739726027365</v>
      </c>
      <c r="O10" s="2">
        <v>6</v>
      </c>
      <c r="P10" s="2">
        <v>1344</v>
      </c>
      <c r="Q10" s="2">
        <v>14</v>
      </c>
      <c r="R10" s="2">
        <v>171</v>
      </c>
      <c r="S10" s="2">
        <v>9</v>
      </c>
      <c r="T10" s="7">
        <v>4.6391752577319499E-2</v>
      </c>
      <c r="U10" s="7">
        <v>6.3842807978047603E-2</v>
      </c>
      <c r="V10" s="7">
        <v>0.87971391417425204</v>
      </c>
      <c r="W10" s="7">
        <v>0.39130434782608697</v>
      </c>
      <c r="X10" s="7">
        <v>0.05</v>
      </c>
      <c r="Y10" s="7">
        <f>2 * ((Table269[[#This Row],[Precision]]*Table269[[#This Row],[Recall]])/(Table269[[#This Row],[Precision]]+Table269[[#This Row],[Recall]]))</f>
        <v>8.8669950738916259E-2</v>
      </c>
      <c r="AB10" s="2">
        <v>6</v>
      </c>
      <c r="AC10" s="2">
        <v>958</v>
      </c>
      <c r="AD10" s="2">
        <v>400</v>
      </c>
      <c r="AE10" s="2">
        <v>94</v>
      </c>
      <c r="AF10" s="2">
        <v>86</v>
      </c>
      <c r="AG10" s="7">
        <v>0.14827586206896501</v>
      </c>
      <c r="AH10" s="7">
        <v>0.105464426830933</v>
      </c>
      <c r="AI10" s="7">
        <v>0.67880364109232705</v>
      </c>
      <c r="AJ10" s="7">
        <v>0.17695473251028801</v>
      </c>
      <c r="AK10" s="7">
        <v>0.47777777777777702</v>
      </c>
      <c r="AL10" s="7">
        <f>2*((Table2458[[#This Row],[Precision]]*Table2458[[#This Row],[Recall]])/(Table2458[[#This Row],[Recall]]+Table2458[[#This Row],[Precision]]))</f>
        <v>0.2582582582582581</v>
      </c>
      <c r="AO10" s="2">
        <v>6</v>
      </c>
      <c r="AP10" s="2">
        <v>1306</v>
      </c>
      <c r="AQ10" s="2">
        <v>52</v>
      </c>
      <c r="AR10" s="2">
        <v>143</v>
      </c>
      <c r="AS10" s="2">
        <v>37</v>
      </c>
      <c r="AT10" s="7">
        <v>0.159482758620689</v>
      </c>
      <c r="AU10" s="7">
        <v>0.21424117459036501</v>
      </c>
      <c r="AV10" s="7">
        <v>0.87321196358907605</v>
      </c>
      <c r="AW10" s="7">
        <v>0.41573033707865098</v>
      </c>
      <c r="AX10" s="7">
        <v>0.20555555555555499</v>
      </c>
      <c r="AY10" s="7">
        <f>2*((Table24582[[#This Row],[Precision]]*Table24582[[#This Row],[Recall]])/ (Table24582[[#This Row],[Precision]]+Table24582[[#This Row],[Recall]]))</f>
        <v>0.27509293680297331</v>
      </c>
    </row>
    <row r="11" spans="2:51" x14ac:dyDescent="0.25">
      <c r="B11" s="2">
        <v>7</v>
      </c>
      <c r="C11" s="2">
        <v>919</v>
      </c>
      <c r="D11" s="2">
        <v>34</v>
      </c>
      <c r="E11" s="2">
        <v>87</v>
      </c>
      <c r="F11" s="2">
        <v>15</v>
      </c>
      <c r="G11" s="7">
        <v>0.110294117647058</v>
      </c>
      <c r="H11" s="7">
        <v>0.145028096096016</v>
      </c>
      <c r="I11" s="7">
        <v>0.88530805687203795</v>
      </c>
      <c r="J11" s="7">
        <v>0.30612244897959101</v>
      </c>
      <c r="K11" s="7">
        <v>0.14705882352941099</v>
      </c>
      <c r="L11" s="7">
        <f>2 * ((Table26[[#This Row],[Precision]]*Table26[[#This Row],[Recall]])/(Table26[[#This Row],[Precision]]+Table26[[#This Row],[Recall]]))</f>
        <v>0.19867549668874085</v>
      </c>
      <c r="O11" s="2">
        <v>7</v>
      </c>
      <c r="P11" s="2">
        <v>946</v>
      </c>
      <c r="Q11" s="2">
        <v>7</v>
      </c>
      <c r="R11" s="2">
        <v>98</v>
      </c>
      <c r="S11" s="2">
        <v>4</v>
      </c>
      <c r="T11" s="20">
        <v>3.6697247706422E-2</v>
      </c>
      <c r="U11" s="7">
        <v>5.29703943712539E-2</v>
      </c>
      <c r="V11" s="7">
        <v>0.90047393364928896</v>
      </c>
      <c r="W11" s="7">
        <v>0.36363636363636298</v>
      </c>
      <c r="X11" s="7">
        <v>3.9215686274509803E-2</v>
      </c>
      <c r="Y11" s="7">
        <f>2 * ((Table269[[#This Row],[Precision]]*Table269[[#This Row],[Recall]])/(Table269[[#This Row],[Precision]]+Table269[[#This Row],[Recall]]))</f>
        <v>7.0796460176991149E-2</v>
      </c>
      <c r="AB11" s="2">
        <v>7</v>
      </c>
      <c r="AC11" s="2">
        <v>624</v>
      </c>
      <c r="AD11" s="2">
        <v>329</v>
      </c>
      <c r="AE11" s="2">
        <v>25</v>
      </c>
      <c r="AF11" s="2">
        <v>77</v>
      </c>
      <c r="AG11" s="26">
        <v>0.17865429234338701</v>
      </c>
      <c r="AH11" s="7">
        <v>0.17577397399341399</v>
      </c>
      <c r="AI11" s="7">
        <v>0.66445497630331696</v>
      </c>
      <c r="AJ11" s="7">
        <v>0.18965517241379301</v>
      </c>
      <c r="AK11" s="7">
        <v>0.75490196078431304</v>
      </c>
      <c r="AL11" s="7">
        <f>2*((Table2458[[#This Row],[Precision]]*Table2458[[#This Row],[Recall]])/(Table2458[[#This Row],[Recall]]+Table2458[[#This Row],[Precision]]))</f>
        <v>0.30314960629921245</v>
      </c>
      <c r="AO11" s="2">
        <v>7</v>
      </c>
      <c r="AP11" s="2">
        <v>940</v>
      </c>
      <c r="AQ11" s="2">
        <v>13</v>
      </c>
      <c r="AR11" s="2">
        <v>86</v>
      </c>
      <c r="AS11" s="2">
        <v>16</v>
      </c>
      <c r="AT11" s="26">
        <v>0.139130434782608</v>
      </c>
      <c r="AU11" s="7">
        <v>0.210478573426362</v>
      </c>
      <c r="AV11" s="7">
        <v>0.90616113744075799</v>
      </c>
      <c r="AW11" s="7">
        <v>0.55172413793103403</v>
      </c>
      <c r="AX11" s="7">
        <v>0.15686274509803899</v>
      </c>
      <c r="AY11" s="7">
        <f>2*((Table24582[[#This Row],[Precision]]*Table24582[[#This Row],[Recall]])/ (Table24582[[#This Row],[Precision]]+Table24582[[#This Row],[Recall]]))</f>
        <v>0.24427480916030503</v>
      </c>
    </row>
    <row r="12" spans="2:51" x14ac:dyDescent="0.25">
      <c r="B12" s="2">
        <v>8</v>
      </c>
      <c r="C12" s="2">
        <v>1010</v>
      </c>
      <c r="D12" s="2">
        <v>29</v>
      </c>
      <c r="E12" s="2">
        <v>152</v>
      </c>
      <c r="F12" s="2">
        <v>45</v>
      </c>
      <c r="G12" s="7">
        <v>0.199115044247787</v>
      </c>
      <c r="H12" s="7">
        <v>0.26842380640941699</v>
      </c>
      <c r="I12" s="7">
        <v>0.85355987055016103</v>
      </c>
      <c r="J12" s="7">
        <v>0.608108108108108</v>
      </c>
      <c r="K12" s="7">
        <v>0.22842639593908601</v>
      </c>
      <c r="L12" s="7">
        <f>2 * ((Table26[[#This Row],[Precision]]*Table26[[#This Row],[Recall]])/(Table26[[#This Row],[Precision]]+Table26[[#This Row],[Recall]]))</f>
        <v>0.33210332103321005</v>
      </c>
      <c r="O12" s="2">
        <v>8</v>
      </c>
      <c r="P12" s="2">
        <v>1024</v>
      </c>
      <c r="Q12" s="2">
        <v>15</v>
      </c>
      <c r="R12" s="2">
        <v>163</v>
      </c>
      <c r="S12" s="2">
        <v>34</v>
      </c>
      <c r="T12" s="7">
        <v>0.160377358490566</v>
      </c>
      <c r="U12" s="7">
        <v>0.22736435469710201</v>
      </c>
      <c r="V12" s="7">
        <v>0.855987055016181</v>
      </c>
      <c r="W12" s="7">
        <v>0.69387755102040805</v>
      </c>
      <c r="X12" s="7">
        <v>0.172588832487309</v>
      </c>
      <c r="Y12" s="7">
        <f>2 * ((Table269[[#This Row],[Precision]]*Table269[[#This Row],[Recall]])/(Table269[[#This Row],[Precision]]+Table269[[#This Row],[Recall]]))</f>
        <v>0.27642276422764145</v>
      </c>
      <c r="AB12" s="2">
        <v>8</v>
      </c>
      <c r="AC12" s="2">
        <v>556</v>
      </c>
      <c r="AD12" s="2">
        <v>483</v>
      </c>
      <c r="AE12" s="2">
        <v>42</v>
      </c>
      <c r="AF12" s="2">
        <v>155</v>
      </c>
      <c r="AG12" s="7">
        <v>0.22794117647058801</v>
      </c>
      <c r="AH12" s="7">
        <v>0.16881007521570601</v>
      </c>
      <c r="AI12" s="7">
        <v>0.57524271844660102</v>
      </c>
      <c r="AJ12" s="7">
        <v>0.242946708463949</v>
      </c>
      <c r="AK12" s="7">
        <v>0.78680203045685204</v>
      </c>
      <c r="AL12" s="7">
        <f>2*((Table2458[[#This Row],[Precision]]*Table2458[[#This Row],[Recall]])/(Table2458[[#This Row],[Recall]]+Table2458[[#This Row],[Precision]]))</f>
        <v>0.37125748502993899</v>
      </c>
      <c r="AO12" s="2">
        <v>8</v>
      </c>
      <c r="AP12" s="2">
        <v>1014</v>
      </c>
      <c r="AQ12" s="2">
        <v>25</v>
      </c>
      <c r="AR12" s="2">
        <v>143</v>
      </c>
      <c r="AS12" s="2">
        <v>54</v>
      </c>
      <c r="AT12" s="7">
        <v>0.24324324324324301</v>
      </c>
      <c r="AU12" s="7">
        <v>0.33018934873068501</v>
      </c>
      <c r="AV12" s="7">
        <v>0.86407766990291202</v>
      </c>
      <c r="AW12" s="7">
        <v>0.683544303797468</v>
      </c>
      <c r="AX12" s="7">
        <v>0.27411167512690299</v>
      </c>
      <c r="AY12" s="7">
        <f>2*((Table24582[[#This Row],[Precision]]*Table24582[[#This Row],[Recall]])/ (Table24582[[#This Row],[Precision]]+Table24582[[#This Row],[Recall]]))</f>
        <v>0.39130434782608625</v>
      </c>
    </row>
    <row r="13" spans="2:51" x14ac:dyDescent="0.25">
      <c r="B13" s="2">
        <v>9</v>
      </c>
      <c r="C13" s="2">
        <v>1369</v>
      </c>
      <c r="D13" s="2">
        <v>30</v>
      </c>
      <c r="E13" s="2">
        <v>5</v>
      </c>
      <c r="F13" s="2">
        <v>6</v>
      </c>
      <c r="G13" s="7">
        <v>0.146341463414634</v>
      </c>
      <c r="H13" s="7">
        <v>0.24631173829378</v>
      </c>
      <c r="I13" s="7">
        <v>0.97517730496453903</v>
      </c>
      <c r="J13" s="7">
        <v>0.16666666666666599</v>
      </c>
      <c r="K13" s="7">
        <v>0.54545454545454497</v>
      </c>
      <c r="L13" s="7">
        <f>2 * ((Table26[[#This Row],[Precision]]*Table26[[#This Row],[Recall]])/(Table26[[#This Row],[Precision]]+Table26[[#This Row],[Recall]]))</f>
        <v>0.25531914893616936</v>
      </c>
      <c r="O13" s="2">
        <v>9</v>
      </c>
      <c r="P13" s="2">
        <v>1387</v>
      </c>
      <c r="Q13" s="2">
        <v>12</v>
      </c>
      <c r="R13" s="2">
        <v>8</v>
      </c>
      <c r="S13" s="2">
        <v>3</v>
      </c>
      <c r="T13" s="7">
        <v>0.13043478260869501</v>
      </c>
      <c r="U13" s="7">
        <v>0.22378199834847001</v>
      </c>
      <c r="V13" s="7">
        <v>0.98581560283687897</v>
      </c>
      <c r="W13" s="7">
        <v>0.2</v>
      </c>
      <c r="X13" s="7">
        <v>0.27272727272727199</v>
      </c>
      <c r="Y13" s="7">
        <f>2 * ((Table269[[#This Row],[Precision]]*Table269[[#This Row],[Recall]])/(Table269[[#This Row],[Precision]]+Table269[[#This Row],[Recall]]))</f>
        <v>0.2307692307692305</v>
      </c>
      <c r="AB13" s="17">
        <v>9</v>
      </c>
      <c r="AC13" s="2">
        <v>1030</v>
      </c>
      <c r="AD13" s="2">
        <v>369</v>
      </c>
      <c r="AE13" s="2">
        <v>3</v>
      </c>
      <c r="AF13" s="2">
        <v>8</v>
      </c>
      <c r="AG13" s="7">
        <v>2.1052631578947299E-2</v>
      </c>
      <c r="AH13" s="7">
        <v>2.64780450865458E-2</v>
      </c>
      <c r="AI13" s="7">
        <v>0.73617021276595696</v>
      </c>
      <c r="AJ13" s="7">
        <v>2.1220159151193602E-2</v>
      </c>
      <c r="AK13" s="7">
        <v>0.72727272727272696</v>
      </c>
      <c r="AL13" s="7">
        <f>2*((Table2458[[#This Row],[Precision]]*Table2458[[#This Row],[Recall]])/(Table2458[[#This Row],[Recall]]+Table2458[[#This Row],[Precision]]))</f>
        <v>4.1237113402061792E-2</v>
      </c>
      <c r="AO13" s="28">
        <v>9</v>
      </c>
      <c r="AP13" s="2">
        <v>1383</v>
      </c>
      <c r="AQ13" s="2">
        <v>16</v>
      </c>
      <c r="AR13" s="2">
        <v>7</v>
      </c>
      <c r="AS13" s="2">
        <v>4</v>
      </c>
      <c r="AT13" s="7">
        <v>0.148148148148148</v>
      </c>
      <c r="AU13" s="7">
        <v>0.25051999075572101</v>
      </c>
      <c r="AV13" s="7">
        <v>0.98368794326241105</v>
      </c>
      <c r="AW13" s="7">
        <v>0.2</v>
      </c>
      <c r="AX13" s="7">
        <v>0.36363636363636298</v>
      </c>
      <c r="AY13" s="7">
        <f>2*((Table24582[[#This Row],[Precision]]*Table24582[[#This Row],[Recall]])/ (Table24582[[#This Row],[Precision]]+Table24582[[#This Row],[Recall]]))</f>
        <v>0.25806451612903208</v>
      </c>
    </row>
    <row r="14" spans="2:51" x14ac:dyDescent="0.25">
      <c r="B14" s="2">
        <v>10</v>
      </c>
      <c r="C14" s="2">
        <v>952</v>
      </c>
      <c r="D14" s="2">
        <v>71</v>
      </c>
      <c r="E14" s="2">
        <v>9</v>
      </c>
      <c r="F14" s="2">
        <v>20</v>
      </c>
      <c r="G14" s="7">
        <v>0.2</v>
      </c>
      <c r="H14" s="7">
        <v>0.304244308129826</v>
      </c>
      <c r="I14" s="7">
        <v>0.92395437262357405</v>
      </c>
      <c r="J14" s="7">
        <v>0.219780219780219</v>
      </c>
      <c r="K14" s="7">
        <v>0.68965517241379304</v>
      </c>
      <c r="L14" s="7">
        <f>2 * ((Table26[[#This Row],[Precision]]*Table26[[#This Row],[Recall]])/(Table26[[#This Row],[Precision]]+Table26[[#This Row],[Recall]]))</f>
        <v>0.33333333333333243</v>
      </c>
      <c r="O14" s="2">
        <v>10</v>
      </c>
      <c r="P14" s="2">
        <v>1010</v>
      </c>
      <c r="Q14" s="2">
        <v>13</v>
      </c>
      <c r="R14" s="2">
        <v>18</v>
      </c>
      <c r="S14" s="2">
        <v>11</v>
      </c>
      <c r="T14" s="7">
        <v>0.26190476190476097</v>
      </c>
      <c r="U14" s="7">
        <v>0.40011772496504899</v>
      </c>
      <c r="V14" s="7">
        <v>0.97053231939163498</v>
      </c>
      <c r="W14" s="7">
        <v>0.45833333333333298</v>
      </c>
      <c r="X14" s="7">
        <v>0.37931034482758602</v>
      </c>
      <c r="Y14" s="7">
        <f>2 * ((Table269[[#This Row],[Precision]]*Table269[[#This Row],[Recall]])/(Table269[[#This Row],[Precision]]+Table269[[#This Row],[Recall]]))</f>
        <v>0.41509433962264125</v>
      </c>
      <c r="AB14" s="2">
        <v>10</v>
      </c>
      <c r="AC14" s="2">
        <v>808</v>
      </c>
      <c r="AD14" s="2">
        <v>215</v>
      </c>
      <c r="AE14" s="2">
        <v>13</v>
      </c>
      <c r="AF14" s="2">
        <v>16</v>
      </c>
      <c r="AG14" s="7">
        <v>6.5573770491803199E-2</v>
      </c>
      <c r="AH14" s="7">
        <v>7.7909596266367398E-2</v>
      </c>
      <c r="AI14" s="7">
        <v>0.78326996197718601</v>
      </c>
      <c r="AJ14" s="7">
        <v>6.9264069264069195E-2</v>
      </c>
      <c r="AK14" s="7">
        <v>0.55172413793103403</v>
      </c>
      <c r="AL14" s="7">
        <f>2*((Table2458[[#This Row],[Precision]]*Table2458[[#This Row],[Recall]])/(Table2458[[#This Row],[Recall]]+Table2458[[#This Row],[Precision]]))</f>
        <v>0.12307692307692296</v>
      </c>
      <c r="AO14" s="2">
        <v>10</v>
      </c>
      <c r="AP14" s="2">
        <v>995</v>
      </c>
      <c r="AQ14" s="2">
        <v>28</v>
      </c>
      <c r="AR14" s="2">
        <v>10</v>
      </c>
      <c r="AS14" s="2">
        <v>19</v>
      </c>
      <c r="AT14" s="7">
        <v>0.33333333333333298</v>
      </c>
      <c r="AU14" s="7">
        <v>0.48235050371636501</v>
      </c>
      <c r="AV14" s="7">
        <v>0.96387832699619702</v>
      </c>
      <c r="AW14" s="7">
        <v>0.40425531914893598</v>
      </c>
      <c r="AX14" s="7">
        <v>0.65517241379310298</v>
      </c>
      <c r="AY14" s="7">
        <f>2*((Table24582[[#This Row],[Precision]]*Table24582[[#This Row],[Recall]])/ (Table24582[[#This Row],[Precision]]+Table24582[[#This Row],[Recall]]))</f>
        <v>0.49999999999999967</v>
      </c>
    </row>
    <row r="15" spans="2:51" x14ac:dyDescent="0.25">
      <c r="B15" s="2">
        <v>11</v>
      </c>
      <c r="C15" s="2">
        <v>1359</v>
      </c>
      <c r="D15" s="2">
        <v>132</v>
      </c>
      <c r="E15" s="2">
        <v>73</v>
      </c>
      <c r="F15" s="2">
        <v>27</v>
      </c>
      <c r="G15" s="7">
        <v>0.116379310344827</v>
      </c>
      <c r="H15" s="7">
        <v>0.142304526532533</v>
      </c>
      <c r="I15" s="7">
        <v>0.87115021998742903</v>
      </c>
      <c r="J15" s="7">
        <v>0.169811320754716</v>
      </c>
      <c r="K15" s="7">
        <v>0.27</v>
      </c>
      <c r="L15" s="7">
        <f>2 * ((Table26[[#This Row],[Precision]]*Table26[[#This Row],[Recall]])/(Table26[[#This Row],[Precision]]+Table26[[#This Row],[Recall]]))</f>
        <v>0.20849420849420774</v>
      </c>
      <c r="O15" s="2">
        <v>11</v>
      </c>
      <c r="P15" s="2">
        <v>1474</v>
      </c>
      <c r="Q15" s="2">
        <v>17</v>
      </c>
      <c r="R15" s="2">
        <v>94</v>
      </c>
      <c r="S15" s="2">
        <v>6</v>
      </c>
      <c r="T15" s="7">
        <v>5.1282051282051197E-2</v>
      </c>
      <c r="U15" s="7">
        <v>7.5837419476382201E-2</v>
      </c>
      <c r="V15" s="7">
        <v>0.93023255813953398</v>
      </c>
      <c r="W15" s="7">
        <v>0.26086956521739102</v>
      </c>
      <c r="X15" s="7">
        <v>0.06</v>
      </c>
      <c r="Y15" s="7">
        <f>2 * ((Table269[[#This Row],[Precision]]*Table269[[#This Row],[Recall]])/(Table269[[#This Row],[Precision]]+Table269[[#This Row],[Recall]]))</f>
        <v>9.7560975609756087E-2</v>
      </c>
      <c r="AB15" s="2">
        <v>11</v>
      </c>
      <c r="AC15" s="2">
        <v>766</v>
      </c>
      <c r="AD15" s="2">
        <v>725</v>
      </c>
      <c r="AE15" s="2">
        <v>27</v>
      </c>
      <c r="AF15" s="2">
        <v>73</v>
      </c>
      <c r="AG15" s="7">
        <v>8.8484848484848402E-2</v>
      </c>
      <c r="AH15" s="7">
        <v>5.7272846181363801E-2</v>
      </c>
      <c r="AI15" s="7">
        <v>0.52734129478315495</v>
      </c>
      <c r="AJ15" s="7">
        <v>9.1478696741854604E-2</v>
      </c>
      <c r="AK15" s="7">
        <v>0.73</v>
      </c>
      <c r="AL15" s="7">
        <f>2*((Table2458[[#This Row],[Precision]]*Table2458[[#This Row],[Recall]])/(Table2458[[#This Row],[Recall]]+Table2458[[#This Row],[Precision]]))</f>
        <v>0.16258351893095763</v>
      </c>
      <c r="AO15" s="2">
        <v>11</v>
      </c>
      <c r="AP15" s="2">
        <v>1458</v>
      </c>
      <c r="AQ15" s="2">
        <v>33</v>
      </c>
      <c r="AR15" s="2">
        <v>75</v>
      </c>
      <c r="AS15" s="2">
        <v>25</v>
      </c>
      <c r="AT15" s="7">
        <v>0.18796992481203001</v>
      </c>
      <c r="AU15" s="7">
        <v>0.28338713309811597</v>
      </c>
      <c r="AV15" s="7">
        <v>0.93211816467630404</v>
      </c>
      <c r="AW15" s="7">
        <v>0.43103448275862</v>
      </c>
      <c r="AX15" s="7">
        <v>0.25</v>
      </c>
      <c r="AY15" s="7">
        <f>2*((Table24582[[#This Row],[Precision]]*Table24582[[#This Row],[Recall]])/ (Table24582[[#This Row],[Precision]]+Table24582[[#This Row],[Recall]]))</f>
        <v>0.31645569620253144</v>
      </c>
    </row>
    <row r="16" spans="2:51" x14ac:dyDescent="0.25">
      <c r="B16" s="2">
        <v>12</v>
      </c>
      <c r="C16" s="2">
        <v>1280</v>
      </c>
      <c r="D16" s="2">
        <v>66</v>
      </c>
      <c r="E16" s="2">
        <v>62</v>
      </c>
      <c r="F16" s="2">
        <v>69</v>
      </c>
      <c r="G16" s="7">
        <v>0.35025380710659898</v>
      </c>
      <c r="H16" s="7">
        <v>0.47118977824520503</v>
      </c>
      <c r="I16" s="7">
        <v>0.91333784698713605</v>
      </c>
      <c r="J16" s="7">
        <v>0.51111111111111096</v>
      </c>
      <c r="K16" s="7">
        <v>0.52671755725190805</v>
      </c>
      <c r="L16" s="7">
        <f>2 * ((Table26[[#This Row],[Precision]]*Table26[[#This Row],[Recall]])/(Table26[[#This Row],[Precision]]+Table26[[#This Row],[Recall]]))</f>
        <v>0.51879699248120281</v>
      </c>
      <c r="O16" s="2">
        <v>12</v>
      </c>
      <c r="P16" s="2">
        <v>1339</v>
      </c>
      <c r="Q16" s="2">
        <v>7</v>
      </c>
      <c r="R16" s="2">
        <v>116</v>
      </c>
      <c r="S16" s="2">
        <v>15</v>
      </c>
      <c r="T16" s="7">
        <v>0.108695652173913</v>
      </c>
      <c r="U16" s="7">
        <v>0.17503644132832499</v>
      </c>
      <c r="V16" s="7">
        <v>0.91672308733920105</v>
      </c>
      <c r="W16" s="7">
        <v>0.68181818181818099</v>
      </c>
      <c r="X16" s="7">
        <v>0.114503816793893</v>
      </c>
      <c r="Y16" s="7">
        <f>2 * ((Table269[[#This Row],[Precision]]*Table269[[#This Row],[Recall]])/(Table269[[#This Row],[Precision]]+Table269[[#This Row],[Recall]]))</f>
        <v>0.19607843137254882</v>
      </c>
      <c r="AB16" s="2">
        <v>12</v>
      </c>
      <c r="AC16" s="2">
        <v>926</v>
      </c>
      <c r="AD16" s="2">
        <v>420</v>
      </c>
      <c r="AE16" s="2">
        <v>32</v>
      </c>
      <c r="AF16" s="2">
        <v>99</v>
      </c>
      <c r="AG16" s="7">
        <v>0.179673321234119</v>
      </c>
      <c r="AH16" s="7">
        <v>0.18987175877835899</v>
      </c>
      <c r="AI16" s="7">
        <v>0.69397427217332397</v>
      </c>
      <c r="AJ16" s="7">
        <v>0.190751445086705</v>
      </c>
      <c r="AK16" s="7">
        <v>0.75572519083969403</v>
      </c>
      <c r="AL16" s="7">
        <f>2*((Table2458[[#This Row],[Precision]]*Table2458[[#This Row],[Recall]])/(Table2458[[#This Row],[Recall]]+Table2458[[#This Row],[Precision]]))</f>
        <v>0.30461538461538429</v>
      </c>
      <c r="AO16" s="2">
        <v>12</v>
      </c>
      <c r="AP16" s="2">
        <v>1331</v>
      </c>
      <c r="AQ16" s="2">
        <v>15</v>
      </c>
      <c r="AR16" s="2">
        <v>100</v>
      </c>
      <c r="AS16" s="2">
        <v>31</v>
      </c>
      <c r="AT16" s="7">
        <v>0.21232876712328699</v>
      </c>
      <c r="AU16" s="7">
        <v>0.31888265557769901</v>
      </c>
      <c r="AV16" s="7">
        <v>0.922139471902505</v>
      </c>
      <c r="AW16" s="7">
        <v>0.67391304347825998</v>
      </c>
      <c r="AX16" s="7">
        <v>0.236641221374045</v>
      </c>
      <c r="AY16" s="7">
        <f>2*((Table24582[[#This Row],[Precision]]*Table24582[[#This Row],[Recall]])/ (Table24582[[#This Row],[Precision]]+Table24582[[#This Row],[Recall]]))</f>
        <v>0.35028248587570526</v>
      </c>
    </row>
    <row r="17" spans="2:51" x14ac:dyDescent="0.25">
      <c r="B17" s="2">
        <v>13</v>
      </c>
      <c r="C17" s="2">
        <v>1289</v>
      </c>
      <c r="D17" s="2">
        <v>45</v>
      </c>
      <c r="E17" s="2">
        <v>76</v>
      </c>
      <c r="F17" s="2">
        <v>36</v>
      </c>
      <c r="G17" s="7">
        <v>0.22929936305732401</v>
      </c>
      <c r="H17" s="7">
        <v>0.32946262273218402</v>
      </c>
      <c r="I17" s="7">
        <v>0.91632088520055299</v>
      </c>
      <c r="J17" s="7">
        <v>0.44444444444444398</v>
      </c>
      <c r="K17" s="7">
        <v>0.32142857142857101</v>
      </c>
      <c r="L17" s="7">
        <f>2 * ((Table26[[#This Row],[Precision]]*Table26[[#This Row],[Recall]])/(Table26[[#This Row],[Precision]]+Table26[[#This Row],[Recall]]))</f>
        <v>0.3730569948186524</v>
      </c>
      <c r="O17" s="2">
        <v>13</v>
      </c>
      <c r="P17" s="2">
        <v>1322</v>
      </c>
      <c r="Q17" s="2">
        <v>12</v>
      </c>
      <c r="R17" s="2">
        <v>90</v>
      </c>
      <c r="S17" s="2">
        <v>22</v>
      </c>
      <c r="T17" s="7">
        <v>0.17741935483870899</v>
      </c>
      <c r="U17" s="7">
        <v>0.27522358722358597</v>
      </c>
      <c r="V17" s="7">
        <v>0.92946058091286299</v>
      </c>
      <c r="W17" s="7">
        <v>0.64705882352941102</v>
      </c>
      <c r="X17" s="7">
        <v>0.19642857142857101</v>
      </c>
      <c r="Y17" s="7">
        <f>2 * ((Table269[[#This Row],[Precision]]*Table269[[#This Row],[Recall]])/(Table269[[#This Row],[Precision]]+Table269[[#This Row],[Recall]]))</f>
        <v>0.30136986301369806</v>
      </c>
      <c r="AB17" s="2">
        <v>13</v>
      </c>
      <c r="AC17" s="2">
        <v>736</v>
      </c>
      <c r="AD17" s="2">
        <v>598</v>
      </c>
      <c r="AE17" s="2">
        <v>24</v>
      </c>
      <c r="AF17" s="2">
        <v>88</v>
      </c>
      <c r="AG17" s="7">
        <v>0.12394366197183</v>
      </c>
      <c r="AH17" s="7">
        <v>0.100807402993669</v>
      </c>
      <c r="AI17" s="7">
        <v>0.56984785615490996</v>
      </c>
      <c r="AJ17" s="7">
        <v>0.128279883381924</v>
      </c>
      <c r="AK17" s="7">
        <v>0.78571428571428503</v>
      </c>
      <c r="AL17" s="7">
        <f>2*((Table2458[[#This Row],[Precision]]*Table2458[[#This Row],[Recall]])/(Table2458[[#This Row],[Recall]]+Table2458[[#This Row],[Precision]]))</f>
        <v>0.220551378446115</v>
      </c>
      <c r="AO17" s="2">
        <v>13</v>
      </c>
      <c r="AP17" s="2">
        <v>1311</v>
      </c>
      <c r="AQ17" s="2">
        <v>23</v>
      </c>
      <c r="AR17" s="2">
        <v>84</v>
      </c>
      <c r="AS17" s="2">
        <v>28</v>
      </c>
      <c r="AT17" s="7">
        <v>0.20740740740740701</v>
      </c>
      <c r="AU17" s="7">
        <v>0.31012065598330602</v>
      </c>
      <c r="AV17" s="7">
        <v>0.92600276625172895</v>
      </c>
      <c r="AW17" s="7">
        <v>0.54901960784313697</v>
      </c>
      <c r="AX17" s="7">
        <v>0.25</v>
      </c>
      <c r="AY17" s="7">
        <f>2*((Table24582[[#This Row],[Precision]]*Table24582[[#This Row],[Recall]])/ (Table24582[[#This Row],[Precision]]+Table24582[[#This Row],[Recall]]))</f>
        <v>0.34355828220858892</v>
      </c>
    </row>
    <row r="18" spans="2:51" x14ac:dyDescent="0.25">
      <c r="B18" s="2">
        <v>14</v>
      </c>
      <c r="C18" s="2">
        <v>1464</v>
      </c>
      <c r="D18" s="2">
        <v>48</v>
      </c>
      <c r="E18" s="2">
        <v>111</v>
      </c>
      <c r="F18" s="2">
        <v>46</v>
      </c>
      <c r="G18" s="7">
        <v>0.224390243902439</v>
      </c>
      <c r="H18" s="7">
        <v>0.31851834731627598</v>
      </c>
      <c r="I18" s="7">
        <v>0.90473337327741099</v>
      </c>
      <c r="J18" s="7">
        <v>0.489361702127659</v>
      </c>
      <c r="K18" s="7">
        <v>0.29299363057324801</v>
      </c>
      <c r="L18" s="7">
        <f>2 * ((Table26[[#This Row],[Precision]]*Table26[[#This Row],[Recall]])/(Table26[[#This Row],[Precision]]+Table26[[#This Row],[Recall]]))</f>
        <v>0.36653386454183223</v>
      </c>
      <c r="O18" s="2">
        <v>14</v>
      </c>
      <c r="P18" s="2">
        <v>1503</v>
      </c>
      <c r="Q18" s="2">
        <v>9</v>
      </c>
      <c r="R18" s="2">
        <v>143</v>
      </c>
      <c r="S18" s="2">
        <v>14</v>
      </c>
      <c r="T18" s="7">
        <v>8.43373493975903E-2</v>
      </c>
      <c r="U18" s="7">
        <v>0.134755353037879</v>
      </c>
      <c r="V18" s="7">
        <v>0.90892750149790202</v>
      </c>
      <c r="W18" s="7">
        <v>0.60869565217391297</v>
      </c>
      <c r="X18" s="7">
        <v>8.9171974522292904E-2</v>
      </c>
      <c r="Y18" s="7">
        <f>2 * ((Table269[[#This Row],[Precision]]*Table269[[#This Row],[Recall]])/(Table269[[#This Row],[Precision]]+Table269[[#This Row],[Recall]]))</f>
        <v>0.15555555555555545</v>
      </c>
      <c r="AB18" s="2">
        <v>14</v>
      </c>
      <c r="AC18" s="2">
        <v>978</v>
      </c>
      <c r="AD18" s="2">
        <v>534</v>
      </c>
      <c r="AE18" s="2">
        <v>42</v>
      </c>
      <c r="AF18" s="2">
        <v>115</v>
      </c>
      <c r="AG18" s="7">
        <v>0.16642547033284999</v>
      </c>
      <c r="AH18" s="7">
        <v>0.157770792375866</v>
      </c>
      <c r="AI18" s="7">
        <v>0.65488316357099996</v>
      </c>
      <c r="AJ18" s="7">
        <v>0.17719568567026101</v>
      </c>
      <c r="AK18" s="7">
        <v>0.73248407643312097</v>
      </c>
      <c r="AL18" s="7">
        <f>2*((Table2458[[#This Row],[Precision]]*Table2458[[#This Row],[Recall]])/(Table2458[[#This Row],[Recall]]+Table2458[[#This Row],[Precision]]))</f>
        <v>0.28535980148883255</v>
      </c>
      <c r="AO18" s="2">
        <v>14</v>
      </c>
      <c r="AP18" s="2">
        <v>1504</v>
      </c>
      <c r="AQ18" s="2">
        <v>8</v>
      </c>
      <c r="AR18" s="2">
        <v>137</v>
      </c>
      <c r="AS18" s="2">
        <v>20</v>
      </c>
      <c r="AT18" s="7">
        <v>0.12121212121212099</v>
      </c>
      <c r="AU18" s="7">
        <v>0.19324405863194299</v>
      </c>
      <c r="AV18" s="7">
        <v>0.91312162971839395</v>
      </c>
      <c r="AW18" s="7">
        <v>0.71428571428571397</v>
      </c>
      <c r="AX18" s="7">
        <v>0.12738853503184699</v>
      </c>
      <c r="AY18" s="7">
        <f>2*((Table24582[[#This Row],[Precision]]*Table24582[[#This Row],[Recall]])/ (Table24582[[#This Row],[Precision]]+Table24582[[#This Row],[Recall]]))</f>
        <v>0.21621621621621601</v>
      </c>
    </row>
    <row r="19" spans="2:51" x14ac:dyDescent="0.25">
      <c r="B19" s="2">
        <v>15</v>
      </c>
      <c r="C19" s="2">
        <v>892</v>
      </c>
      <c r="D19" s="2">
        <v>94</v>
      </c>
      <c r="E19" s="2">
        <v>53</v>
      </c>
      <c r="F19" s="2">
        <v>40</v>
      </c>
      <c r="G19" s="7">
        <v>0.21390374331550799</v>
      </c>
      <c r="H19" s="7">
        <v>0.279061311128181</v>
      </c>
      <c r="I19" s="7">
        <v>0.86376274328081504</v>
      </c>
      <c r="J19" s="7">
        <v>0.29850746268656703</v>
      </c>
      <c r="K19" s="7">
        <v>0.43010752688171999</v>
      </c>
      <c r="L19" s="7">
        <f>2 * ((Table26[[#This Row],[Precision]]*Table26[[#This Row],[Recall]])/(Table26[[#This Row],[Precision]]+Table26[[#This Row],[Recall]]))</f>
        <v>0.35242290748898658</v>
      </c>
      <c r="O19" s="2">
        <v>15</v>
      </c>
      <c r="P19" s="2">
        <v>962</v>
      </c>
      <c r="Q19" s="2">
        <v>24</v>
      </c>
      <c r="R19" s="2">
        <v>75</v>
      </c>
      <c r="S19" s="2">
        <v>18</v>
      </c>
      <c r="T19" s="7">
        <v>0.15384615384615299</v>
      </c>
      <c r="U19" s="7">
        <v>0.22510935561793899</v>
      </c>
      <c r="V19" s="7">
        <v>0.90824837812789605</v>
      </c>
      <c r="W19" s="7">
        <v>0.42857142857142799</v>
      </c>
      <c r="X19" s="7">
        <v>0.19354838709677399</v>
      </c>
      <c r="Y19" s="7">
        <f>2 * ((Table269[[#This Row],[Precision]]*Table269[[#This Row],[Recall]])/(Table269[[#This Row],[Precision]]+Table269[[#This Row],[Recall]]))</f>
        <v>0.26666666666666639</v>
      </c>
      <c r="AB19" s="2">
        <v>15</v>
      </c>
      <c r="AC19" s="2">
        <v>766</v>
      </c>
      <c r="AD19" s="2">
        <v>220</v>
      </c>
      <c r="AE19" s="2">
        <v>36</v>
      </c>
      <c r="AF19" s="2">
        <v>57</v>
      </c>
      <c r="AG19" s="7">
        <v>0.18210862619808299</v>
      </c>
      <c r="AH19" s="7">
        <v>0.20558629654767799</v>
      </c>
      <c r="AI19" s="7">
        <v>0.76274328081556997</v>
      </c>
      <c r="AJ19" s="7">
        <v>0.20577617328519801</v>
      </c>
      <c r="AK19" s="7">
        <v>0.61290322580645096</v>
      </c>
      <c r="AL19" s="7">
        <f>2*((Table2458[[#This Row],[Precision]]*Table2458[[#This Row],[Recall]])/(Table2458[[#This Row],[Recall]]+Table2458[[#This Row],[Precision]]))</f>
        <v>0.3081081081081074</v>
      </c>
      <c r="AO19" s="2">
        <v>15</v>
      </c>
      <c r="AP19" s="2">
        <v>954</v>
      </c>
      <c r="AQ19" s="2">
        <v>32</v>
      </c>
      <c r="AR19" s="2">
        <v>62</v>
      </c>
      <c r="AS19" s="2">
        <v>31</v>
      </c>
      <c r="AT19" s="7">
        <v>0.248</v>
      </c>
      <c r="AU19" s="7">
        <v>0.35234920756548199</v>
      </c>
      <c r="AV19" s="7">
        <v>0.912882298424467</v>
      </c>
      <c r="AW19" s="7">
        <v>0.49206349206349198</v>
      </c>
      <c r="AX19" s="7">
        <v>0.33333333333333298</v>
      </c>
      <c r="AY19" s="7">
        <f>2*((Table24582[[#This Row],[Precision]]*Table24582[[#This Row],[Recall]])/ (Table24582[[#This Row],[Precision]]+Table24582[[#This Row],[Recall]]))</f>
        <v>0.39743589743589719</v>
      </c>
    </row>
    <row r="20" spans="2:51" x14ac:dyDescent="0.25">
      <c r="B20" s="2">
        <v>16</v>
      </c>
      <c r="C20" s="2">
        <v>1202</v>
      </c>
      <c r="D20" s="2">
        <v>29</v>
      </c>
      <c r="E20" s="2">
        <v>4</v>
      </c>
      <c r="F20" s="2">
        <v>31</v>
      </c>
      <c r="G20" s="7">
        <v>0.484375</v>
      </c>
      <c r="H20" s="7">
        <v>0.64006203153269603</v>
      </c>
      <c r="I20" s="7">
        <v>0.97393364928909898</v>
      </c>
      <c r="J20" s="7">
        <v>0.51666666666666605</v>
      </c>
      <c r="K20" s="7">
        <v>0.88571428571428501</v>
      </c>
      <c r="L20" s="7">
        <f>2 * ((Table26[[#This Row],[Precision]]*Table26[[#This Row],[Recall]])/(Table26[[#This Row],[Precision]]+Table26[[#This Row],[Recall]]))</f>
        <v>0.65263157894736779</v>
      </c>
      <c r="O20" s="2">
        <v>16</v>
      </c>
      <c r="P20" s="2">
        <v>1223</v>
      </c>
      <c r="Q20" s="2">
        <v>8</v>
      </c>
      <c r="R20" s="2">
        <v>16</v>
      </c>
      <c r="S20" s="2">
        <v>19</v>
      </c>
      <c r="T20" s="19">
        <v>0.44186046511627902</v>
      </c>
      <c r="U20" s="7">
        <v>0.60335239288791498</v>
      </c>
      <c r="V20" s="7">
        <v>0.98104265402843605</v>
      </c>
      <c r="W20" s="7">
        <v>0.70370370370370305</v>
      </c>
      <c r="X20" s="7">
        <v>0.54285714285714204</v>
      </c>
      <c r="Y20" s="7">
        <f>2 * ((Table269[[#This Row],[Precision]]*Table269[[#This Row],[Recall]])/(Table269[[#This Row],[Precision]]+Table269[[#This Row],[Recall]]))</f>
        <v>0.61290322580645085</v>
      </c>
      <c r="AB20" s="2">
        <v>16</v>
      </c>
      <c r="AC20" s="2">
        <v>842</v>
      </c>
      <c r="AD20" s="2">
        <v>389</v>
      </c>
      <c r="AE20" s="2">
        <v>10</v>
      </c>
      <c r="AF20" s="2">
        <v>25</v>
      </c>
      <c r="AG20" s="27">
        <v>5.8962264150943397E-2</v>
      </c>
      <c r="AH20" s="7">
        <v>6.3619882325462798E-2</v>
      </c>
      <c r="AI20" s="7">
        <v>0.68483412322274795</v>
      </c>
      <c r="AJ20" s="7">
        <v>6.0386473429951598E-2</v>
      </c>
      <c r="AK20" s="7">
        <v>0.71428571428571397</v>
      </c>
      <c r="AL20" s="7">
        <f>2*((Table2458[[#This Row],[Precision]]*Table2458[[#This Row],[Recall]])/(Table2458[[#This Row],[Recall]]+Table2458[[#This Row],[Precision]]))</f>
        <v>0.11135857461024483</v>
      </c>
      <c r="AO20" s="2">
        <v>16</v>
      </c>
      <c r="AP20" s="2">
        <v>1215</v>
      </c>
      <c r="AQ20" s="2">
        <v>16</v>
      </c>
      <c r="AR20" s="2">
        <v>13</v>
      </c>
      <c r="AS20" s="2">
        <v>22</v>
      </c>
      <c r="AT20" s="27">
        <v>0.43137254901960698</v>
      </c>
      <c r="AU20" s="7">
        <v>0.59096682189888405</v>
      </c>
      <c r="AV20" s="7">
        <v>0.97709320695102597</v>
      </c>
      <c r="AW20" s="7">
        <v>0.57894736842105199</v>
      </c>
      <c r="AX20" s="7">
        <v>0.628571428571428</v>
      </c>
      <c r="AY20" s="7">
        <f>2*((Table24582[[#This Row],[Precision]]*Table24582[[#This Row],[Recall]])/ (Table24582[[#This Row],[Precision]]+Table24582[[#This Row],[Recall]]))</f>
        <v>0.60273972602739678</v>
      </c>
    </row>
    <row r="21" spans="2:51" x14ac:dyDescent="0.25">
      <c r="B21" s="2">
        <v>17</v>
      </c>
      <c r="C21" s="2">
        <v>886</v>
      </c>
      <c r="D21" s="2">
        <v>160</v>
      </c>
      <c r="E21" s="2">
        <v>15</v>
      </c>
      <c r="F21" s="2">
        <v>51</v>
      </c>
      <c r="G21" s="7">
        <v>0.225663716814159</v>
      </c>
      <c r="H21" s="7">
        <v>0.30542666647630701</v>
      </c>
      <c r="I21" s="7">
        <v>0.84262589928057496</v>
      </c>
      <c r="J21" s="7">
        <v>0.24170616113744001</v>
      </c>
      <c r="K21" s="7">
        <v>0.77272727272727204</v>
      </c>
      <c r="L21" s="7">
        <f>2 * ((Table26[[#This Row],[Precision]]*Table26[[#This Row],[Recall]])/(Table26[[#This Row],[Precision]]+Table26[[#This Row],[Recall]]))</f>
        <v>0.36823104693140696</v>
      </c>
      <c r="O21" s="2">
        <v>17</v>
      </c>
      <c r="P21" s="2">
        <v>1017</v>
      </c>
      <c r="Q21" s="2">
        <v>29</v>
      </c>
      <c r="R21" s="2">
        <v>43</v>
      </c>
      <c r="S21" s="2">
        <v>23</v>
      </c>
      <c r="T21" s="7">
        <v>0.24210526315789399</v>
      </c>
      <c r="U21" s="7">
        <v>0.35615028306742103</v>
      </c>
      <c r="V21" s="7">
        <v>0.93525179856115104</v>
      </c>
      <c r="W21" s="7">
        <v>0.44230769230769201</v>
      </c>
      <c r="X21" s="7">
        <v>0.34848484848484801</v>
      </c>
      <c r="Y21" s="7">
        <f>2 * ((Table269[[#This Row],[Precision]]*Table269[[#This Row],[Recall]])/(Table269[[#This Row],[Precision]]+Table269[[#This Row],[Recall]]))</f>
        <v>0.38983050847457584</v>
      </c>
      <c r="AB21" s="2">
        <v>17</v>
      </c>
      <c r="AC21" s="2">
        <v>430</v>
      </c>
      <c r="AD21" s="2">
        <v>616</v>
      </c>
      <c r="AE21" s="2">
        <v>6</v>
      </c>
      <c r="AF21" s="2">
        <v>60</v>
      </c>
      <c r="AG21" s="7">
        <v>8.7976539589442806E-2</v>
      </c>
      <c r="AH21" s="7">
        <v>6.0075665333101297E-2</v>
      </c>
      <c r="AI21" s="7">
        <v>0.44064748201438803</v>
      </c>
      <c r="AJ21" s="7">
        <v>8.8757396449704096E-2</v>
      </c>
      <c r="AK21" s="7">
        <v>0.90909090909090895</v>
      </c>
      <c r="AL21" s="7">
        <f>2*((Table2458[[#This Row],[Precision]]*Table2458[[#This Row],[Recall]])/(Table2458[[#This Row],[Recall]]+Table2458[[#This Row],[Precision]]))</f>
        <v>0.16172506738544465</v>
      </c>
      <c r="AO21" s="2">
        <v>17</v>
      </c>
      <c r="AP21" s="2">
        <v>1001</v>
      </c>
      <c r="AQ21" s="2">
        <v>45</v>
      </c>
      <c r="AR21" s="2">
        <v>26</v>
      </c>
      <c r="AS21" s="2">
        <v>40</v>
      </c>
      <c r="AT21" s="7">
        <v>0.36036036036036001</v>
      </c>
      <c r="AU21" s="7">
        <v>0.49613254027008302</v>
      </c>
      <c r="AV21" s="7">
        <v>0.93615107913669005</v>
      </c>
      <c r="AW21" s="7">
        <v>0.47058823529411697</v>
      </c>
      <c r="AX21" s="7">
        <v>0.60606060606060597</v>
      </c>
      <c r="AY21" s="7">
        <f>2*((Table24582[[#This Row],[Precision]]*Table24582[[#This Row],[Recall]])/ (Table24582[[#This Row],[Precision]]+Table24582[[#This Row],[Recall]]))</f>
        <v>0.52980132450331086</v>
      </c>
    </row>
    <row r="22" spans="2:51" x14ac:dyDescent="0.25">
      <c r="B22" s="2">
        <v>18</v>
      </c>
      <c r="C22" s="2">
        <v>1040</v>
      </c>
      <c r="D22" s="2">
        <v>115</v>
      </c>
      <c r="E22" s="2">
        <v>16</v>
      </c>
      <c r="F22" s="2">
        <v>66</v>
      </c>
      <c r="G22" s="7">
        <v>0.33502538071065902</v>
      </c>
      <c r="H22" s="7">
        <v>0.45189026102074398</v>
      </c>
      <c r="I22" s="7">
        <v>0.89409862570735599</v>
      </c>
      <c r="J22" s="7">
        <v>0.36464088397790001</v>
      </c>
      <c r="K22" s="7">
        <v>0.80487804878048697</v>
      </c>
      <c r="L22" s="7">
        <f>2 * ((Table26[[#This Row],[Precision]]*Table26[[#This Row],[Recall]])/(Table26[[#This Row],[Precision]]+Table26[[#This Row],[Recall]]))</f>
        <v>0.50190114068440994</v>
      </c>
      <c r="O22" s="2">
        <v>18</v>
      </c>
      <c r="P22" s="2">
        <v>1142</v>
      </c>
      <c r="Q22" s="2">
        <v>13</v>
      </c>
      <c r="R22" s="2">
        <v>68</v>
      </c>
      <c r="S22" s="2">
        <v>14</v>
      </c>
      <c r="T22" s="7">
        <v>0.14736842105263101</v>
      </c>
      <c r="U22" s="7">
        <v>0.23164755952609201</v>
      </c>
      <c r="V22" s="7">
        <v>0.93451899757477697</v>
      </c>
      <c r="W22" s="7">
        <v>0.51851851851851805</v>
      </c>
      <c r="X22" s="7">
        <v>0.17073170731707299</v>
      </c>
      <c r="Y22" s="7">
        <f>2 * ((Table269[[#This Row],[Precision]]*Table269[[#This Row],[Recall]])/(Table269[[#This Row],[Precision]]+Table269[[#This Row],[Recall]]))</f>
        <v>0.25688073394495387</v>
      </c>
      <c r="AB22" s="2">
        <v>18</v>
      </c>
      <c r="AC22" s="2">
        <v>665</v>
      </c>
      <c r="AD22" s="2">
        <v>490</v>
      </c>
      <c r="AE22" s="2">
        <v>24</v>
      </c>
      <c r="AF22" s="2">
        <v>58</v>
      </c>
      <c r="AG22" s="7">
        <v>0.101398601398601</v>
      </c>
      <c r="AH22" s="7">
        <v>7.7773490872275503E-2</v>
      </c>
      <c r="AI22" s="7">
        <v>0.58447857720290997</v>
      </c>
      <c r="AJ22" s="7">
        <v>0.105839416058394</v>
      </c>
      <c r="AK22" s="7">
        <v>0.707317073170731</v>
      </c>
      <c r="AL22" s="7">
        <f>2*((Table2458[[#This Row],[Precision]]*Table2458[[#This Row],[Recall]])/(Table2458[[#This Row],[Recall]]+Table2458[[#This Row],[Precision]]))</f>
        <v>0.18412698412698386</v>
      </c>
      <c r="AO22" s="2">
        <v>18</v>
      </c>
      <c r="AP22" s="2">
        <v>1123</v>
      </c>
      <c r="AQ22" s="2">
        <v>32</v>
      </c>
      <c r="AR22" s="2">
        <v>26</v>
      </c>
      <c r="AS22" s="2">
        <v>56</v>
      </c>
      <c r="AT22" s="7">
        <v>0.49122807017543801</v>
      </c>
      <c r="AU22" s="7">
        <v>0.63368358708860395</v>
      </c>
      <c r="AV22" s="7">
        <v>0.95311236863379101</v>
      </c>
      <c r="AW22" s="7">
        <v>0.63636363636363602</v>
      </c>
      <c r="AX22" s="7">
        <v>0.68292682926829196</v>
      </c>
      <c r="AY22" s="7">
        <f>2*((Table24582[[#This Row],[Precision]]*Table24582[[#This Row],[Recall]])/ (Table24582[[#This Row],[Precision]]+Table24582[[#This Row],[Recall]]))</f>
        <v>0.65882352941176425</v>
      </c>
    </row>
    <row r="23" spans="2:51" x14ac:dyDescent="0.25">
      <c r="B23" s="2">
        <v>19</v>
      </c>
      <c r="C23" s="2">
        <v>1011</v>
      </c>
      <c r="D23" s="2">
        <v>101</v>
      </c>
      <c r="E23" s="2">
        <v>55</v>
      </c>
      <c r="F23" s="2">
        <v>40</v>
      </c>
      <c r="G23" s="7">
        <v>0.20408163265306101</v>
      </c>
      <c r="H23" s="7">
        <v>0.27036138602351401</v>
      </c>
      <c r="I23" s="7">
        <v>0.87075393537696699</v>
      </c>
      <c r="J23" s="7">
        <v>0.28368794326241098</v>
      </c>
      <c r="K23" s="7">
        <v>0.42105263157894701</v>
      </c>
      <c r="L23" s="7">
        <f>2 * ((Table26[[#This Row],[Precision]]*Table26[[#This Row],[Recall]])/(Table26[[#This Row],[Precision]]+Table26[[#This Row],[Recall]]))</f>
        <v>0.33898305084745728</v>
      </c>
      <c r="O23" s="2">
        <v>19</v>
      </c>
      <c r="P23" s="2">
        <v>1085</v>
      </c>
      <c r="Q23" s="2">
        <v>27</v>
      </c>
      <c r="R23" s="2">
        <v>82</v>
      </c>
      <c r="S23" s="2">
        <v>13</v>
      </c>
      <c r="T23" s="7">
        <v>0.10655737704918</v>
      </c>
      <c r="U23" s="7">
        <v>0.153091506002769</v>
      </c>
      <c r="V23" s="7">
        <v>0.90969345484672703</v>
      </c>
      <c r="W23" s="7">
        <v>0.32500000000000001</v>
      </c>
      <c r="X23" s="7">
        <v>0.13684210526315699</v>
      </c>
      <c r="Y23" s="7">
        <f>2 * ((Table269[[#This Row],[Precision]]*Table269[[#This Row],[Recall]])/(Table269[[#This Row],[Precision]]+Table269[[#This Row],[Recall]]))</f>
        <v>0.19259259259259168</v>
      </c>
      <c r="AB23" s="2">
        <v>19</v>
      </c>
      <c r="AC23" s="2">
        <v>728</v>
      </c>
      <c r="AD23" s="2">
        <v>384</v>
      </c>
      <c r="AE23" s="2">
        <v>15</v>
      </c>
      <c r="AF23" s="2">
        <v>80</v>
      </c>
      <c r="AG23" s="7">
        <v>0.167014613778705</v>
      </c>
      <c r="AH23" s="7">
        <v>0.17894376126283501</v>
      </c>
      <c r="AI23" s="7">
        <v>0.66942833471416696</v>
      </c>
      <c r="AJ23" s="7">
        <v>0.17241379310344801</v>
      </c>
      <c r="AK23" s="7">
        <v>0.84210526315789402</v>
      </c>
      <c r="AL23" s="7">
        <f>2*((Table2458[[#This Row],[Precision]]*Table2458[[#This Row],[Recall]])/(Table2458[[#This Row],[Recall]]+Table2458[[#This Row],[Precision]]))</f>
        <v>0.28622540250447187</v>
      </c>
      <c r="AO23" s="2">
        <v>19</v>
      </c>
      <c r="AP23" s="2">
        <v>1044</v>
      </c>
      <c r="AQ23" s="2">
        <v>68</v>
      </c>
      <c r="AR23" s="2">
        <v>63</v>
      </c>
      <c r="AS23" s="2">
        <v>32</v>
      </c>
      <c r="AT23" s="7">
        <v>0.19631901840490701</v>
      </c>
      <c r="AU23" s="7">
        <v>0.269211748665449</v>
      </c>
      <c r="AV23" s="7">
        <v>0.89146644573322198</v>
      </c>
      <c r="AW23" s="7">
        <v>0.32</v>
      </c>
      <c r="AX23" s="7">
        <v>0.336842105263157</v>
      </c>
      <c r="AY23" s="7">
        <f>2*((Table24582[[#This Row],[Precision]]*Table24582[[#This Row],[Recall]])/ (Table24582[[#This Row],[Precision]]+Table24582[[#This Row],[Recall]]))</f>
        <v>0.32820512820512776</v>
      </c>
    </row>
    <row r="24" spans="2:51" x14ac:dyDescent="0.25">
      <c r="B24" s="2">
        <v>20</v>
      </c>
      <c r="C24" s="2">
        <v>1077</v>
      </c>
      <c r="D24" s="2">
        <v>57</v>
      </c>
      <c r="E24" s="2">
        <v>72</v>
      </c>
      <c r="F24" s="2">
        <v>72</v>
      </c>
      <c r="G24" s="7">
        <v>0.35820895522388002</v>
      </c>
      <c r="H24" s="7">
        <v>0.47115884288931198</v>
      </c>
      <c r="I24" s="7">
        <v>0.89906103286384897</v>
      </c>
      <c r="J24" s="7">
        <v>0.55813953488372003</v>
      </c>
      <c r="K24" s="7">
        <v>0.5</v>
      </c>
      <c r="L24" s="7">
        <f>2 * ((Table26[[#This Row],[Precision]]*Table26[[#This Row],[Recall]])/(Table26[[#This Row],[Precision]]+Table26[[#This Row],[Recall]]))</f>
        <v>0.52747252747252704</v>
      </c>
      <c r="O24" s="2">
        <v>20</v>
      </c>
      <c r="P24" s="2">
        <v>1121</v>
      </c>
      <c r="Q24" s="2">
        <v>13</v>
      </c>
      <c r="R24" s="2">
        <v>115</v>
      </c>
      <c r="S24" s="2">
        <v>29</v>
      </c>
      <c r="T24" s="7">
        <v>0.184713375796178</v>
      </c>
      <c r="U24" s="7">
        <v>0.274932184458272</v>
      </c>
      <c r="V24" s="7">
        <v>0.89984350547730796</v>
      </c>
      <c r="W24" s="7">
        <v>0.69047619047619002</v>
      </c>
      <c r="X24" s="7">
        <v>0.20138888888888801</v>
      </c>
      <c r="Y24" s="7">
        <f>2 * ((Table269[[#This Row],[Precision]]*Table269[[#This Row],[Recall]])/(Table269[[#This Row],[Precision]]+Table269[[#This Row],[Recall]]))</f>
        <v>0.3118279569892462</v>
      </c>
      <c r="AB24" s="2">
        <v>20</v>
      </c>
      <c r="AC24" s="2">
        <v>646</v>
      </c>
      <c r="AD24" s="2">
        <v>488</v>
      </c>
      <c r="AE24" s="2">
        <v>21</v>
      </c>
      <c r="AF24" s="2">
        <v>123</v>
      </c>
      <c r="AG24" s="7">
        <v>0.194620253164556</v>
      </c>
      <c r="AH24" s="7">
        <v>0.175454607679846</v>
      </c>
      <c r="AI24" s="7">
        <v>0.60172143974960801</v>
      </c>
      <c r="AJ24" s="7">
        <v>0.201309328968903</v>
      </c>
      <c r="AK24" s="7">
        <v>0.85416666666666596</v>
      </c>
      <c r="AL24" s="7">
        <f>2*((Table2458[[#This Row],[Precision]]*Table2458[[#This Row],[Recall]])/(Table2458[[#This Row],[Recall]]+Table2458[[#This Row],[Precision]]))</f>
        <v>0.32582781456953575</v>
      </c>
      <c r="AO24" s="2">
        <v>20</v>
      </c>
      <c r="AP24" s="2">
        <v>1107</v>
      </c>
      <c r="AQ24" s="2">
        <v>27</v>
      </c>
      <c r="AR24" s="2">
        <v>70</v>
      </c>
      <c r="AS24" s="2">
        <v>74</v>
      </c>
      <c r="AT24" s="7">
        <v>0.43274853801169499</v>
      </c>
      <c r="AU24" s="7">
        <v>0.56353381076113795</v>
      </c>
      <c r="AV24" s="7">
        <v>0.92410015649452204</v>
      </c>
      <c r="AW24" s="7">
        <v>0.73267326732673199</v>
      </c>
      <c r="AX24" s="7">
        <v>0.51388888888888795</v>
      </c>
      <c r="AY24" s="7">
        <f>2*((Table24582[[#This Row],[Precision]]*Table24582[[#This Row],[Recall]])/ (Table24582[[#This Row],[Precision]]+Table24582[[#This Row],[Recall]]))</f>
        <v>0.60408163265306036</v>
      </c>
    </row>
    <row r="25" spans="2:51" x14ac:dyDescent="0.25">
      <c r="B25" s="18">
        <v>21</v>
      </c>
      <c r="C25" s="2">
        <v>935</v>
      </c>
      <c r="D25" s="2">
        <v>61</v>
      </c>
      <c r="E25" s="2">
        <v>31</v>
      </c>
      <c r="F25" s="2">
        <v>140</v>
      </c>
      <c r="G25" s="7">
        <v>0.60344827586206895</v>
      </c>
      <c r="H25" s="7">
        <v>0.70615958093173703</v>
      </c>
      <c r="I25" s="7">
        <v>0.921165381319623</v>
      </c>
      <c r="J25" s="7">
        <v>0.69651741293532299</v>
      </c>
      <c r="K25" s="7">
        <v>0.81871345029239695</v>
      </c>
      <c r="L25" s="7">
        <f>2 * ((Table26[[#This Row],[Precision]]*Table26[[#This Row],[Recall]])/(Table26[[#This Row],[Precision]]+Table26[[#This Row],[Recall]]))</f>
        <v>0.7526881720430102</v>
      </c>
      <c r="O25" s="2">
        <v>21</v>
      </c>
      <c r="P25" s="2">
        <v>989</v>
      </c>
      <c r="Q25" s="2">
        <v>7</v>
      </c>
      <c r="R25" s="2">
        <v>133</v>
      </c>
      <c r="S25" s="2">
        <v>38</v>
      </c>
      <c r="T25" s="7">
        <v>0.213483146067415</v>
      </c>
      <c r="U25" s="7">
        <v>0.30970669505919302</v>
      </c>
      <c r="V25" s="7">
        <v>0.88003427592116501</v>
      </c>
      <c r="W25" s="7">
        <v>0.844444444444444</v>
      </c>
      <c r="X25" s="7">
        <v>0.22222222222222199</v>
      </c>
      <c r="Y25" s="7">
        <f>2 * ((Table269[[#This Row],[Precision]]*Table269[[#This Row],[Recall]])/(Table269[[#This Row],[Precision]]+Table269[[#This Row],[Recall]]))</f>
        <v>0.35185185185185153</v>
      </c>
      <c r="AB25" s="2">
        <v>21</v>
      </c>
      <c r="AC25" s="2">
        <v>754</v>
      </c>
      <c r="AD25" s="2">
        <v>242</v>
      </c>
      <c r="AE25" s="2">
        <v>27</v>
      </c>
      <c r="AF25" s="2">
        <v>144</v>
      </c>
      <c r="AG25" s="7">
        <v>0.34866828087167001</v>
      </c>
      <c r="AH25" s="7">
        <v>0.39397923194088103</v>
      </c>
      <c r="AI25" s="7">
        <v>0.76949443016281005</v>
      </c>
      <c r="AJ25" s="7">
        <v>0.37305699481865201</v>
      </c>
      <c r="AK25" s="7">
        <v>0.84210526315789402</v>
      </c>
      <c r="AL25" s="7">
        <f>2*((Table2458[[#This Row],[Precision]]*Table2458[[#This Row],[Recall]])/(Table2458[[#This Row],[Recall]]+Table2458[[#This Row],[Precision]]))</f>
        <v>0.51705565529622888</v>
      </c>
      <c r="AO25" s="11">
        <v>21</v>
      </c>
      <c r="AP25" s="2">
        <v>968</v>
      </c>
      <c r="AQ25" s="2">
        <v>28</v>
      </c>
      <c r="AR25" s="2">
        <v>58</v>
      </c>
      <c r="AS25" s="2">
        <v>113</v>
      </c>
      <c r="AT25" s="7">
        <v>0.56783919597989896</v>
      </c>
      <c r="AU25" s="7">
        <v>0.68228009193306305</v>
      </c>
      <c r="AV25" s="7">
        <v>0.92630676949443003</v>
      </c>
      <c r="AW25" s="7">
        <v>0.80141843971631199</v>
      </c>
      <c r="AX25" s="7">
        <v>0.66081871345029197</v>
      </c>
      <c r="AY25" s="7">
        <f>2*((Table24582[[#This Row],[Precision]]*Table24582[[#This Row],[Recall]])/ (Table24582[[#This Row],[Precision]]+Table24582[[#This Row],[Recall]]))</f>
        <v>0.72435897435897423</v>
      </c>
    </row>
    <row r="26" spans="2:51" x14ac:dyDescent="0.25">
      <c r="B26" s="2">
        <v>22</v>
      </c>
      <c r="C26" s="2">
        <v>699</v>
      </c>
      <c r="D26" s="2">
        <v>171</v>
      </c>
      <c r="E26" s="2">
        <v>13</v>
      </c>
      <c r="F26" s="2">
        <v>38</v>
      </c>
      <c r="G26" s="7">
        <v>0.171171171171171</v>
      </c>
      <c r="H26" s="7">
        <v>0.22314822455097999</v>
      </c>
      <c r="I26" s="7">
        <v>0.800217155266015</v>
      </c>
      <c r="J26" s="7">
        <v>0.18181818181818099</v>
      </c>
      <c r="K26" s="7">
        <v>0.74509803921568596</v>
      </c>
      <c r="L26" s="7">
        <f>2 * ((Table26[[#This Row],[Precision]]*Table26[[#This Row],[Recall]])/(Table26[[#This Row],[Precision]]+Table26[[#This Row],[Recall]]))</f>
        <v>0.29230769230769121</v>
      </c>
      <c r="O26" s="2">
        <v>22</v>
      </c>
      <c r="P26" s="2">
        <v>828</v>
      </c>
      <c r="Q26" s="2">
        <v>42</v>
      </c>
      <c r="R26" s="2">
        <v>46</v>
      </c>
      <c r="S26" s="2">
        <v>5</v>
      </c>
      <c r="T26" s="7">
        <v>5.3763440860214999E-2</v>
      </c>
      <c r="U26" s="7">
        <v>5.1670878966582998E-2</v>
      </c>
      <c r="V26" s="7">
        <v>0.90445168295331102</v>
      </c>
      <c r="W26" s="7">
        <v>0.10638297872340401</v>
      </c>
      <c r="X26" s="7">
        <v>9.8039215686274495E-2</v>
      </c>
      <c r="Y26" s="7">
        <f>2 * ((Table269[[#This Row],[Precision]]*Table269[[#This Row],[Recall]])/(Table269[[#This Row],[Precision]]+Table269[[#This Row],[Recall]]))</f>
        <v>0.10204081632653048</v>
      </c>
      <c r="AB26" s="2">
        <v>22</v>
      </c>
      <c r="AC26" s="2">
        <v>400</v>
      </c>
      <c r="AD26" s="2">
        <v>470</v>
      </c>
      <c r="AE26" s="2">
        <v>3</v>
      </c>
      <c r="AF26" s="2">
        <v>48</v>
      </c>
      <c r="AG26" s="7">
        <v>9.2130518234165001E-2</v>
      </c>
      <c r="AH26" s="7">
        <v>7.5507254681004096E-2</v>
      </c>
      <c r="AI26" s="7">
        <v>0.486427795874049</v>
      </c>
      <c r="AJ26" s="7">
        <v>9.2664092664092604E-2</v>
      </c>
      <c r="AK26" s="7">
        <v>0.94117647058823495</v>
      </c>
      <c r="AL26" s="7">
        <f>2*((Table2458[[#This Row],[Precision]]*Table2458[[#This Row],[Recall]])/(Table2458[[#This Row],[Recall]]+Table2458[[#This Row],[Precision]]))</f>
        <v>0.16871704745166952</v>
      </c>
      <c r="AO26" s="2">
        <v>22</v>
      </c>
      <c r="AP26" s="2">
        <v>748</v>
      </c>
      <c r="AQ26" s="2">
        <v>122</v>
      </c>
      <c r="AR26" s="2">
        <v>14</v>
      </c>
      <c r="AS26" s="2">
        <v>37</v>
      </c>
      <c r="AT26" s="7">
        <v>0.21387283236994201</v>
      </c>
      <c r="AU26" s="7">
        <v>0.29310578355681899</v>
      </c>
      <c r="AV26" s="7">
        <v>0.85233441910966301</v>
      </c>
      <c r="AW26" s="7">
        <v>0.232704402515723</v>
      </c>
      <c r="AX26" s="7">
        <v>0.72549019607843102</v>
      </c>
      <c r="AY26" s="7">
        <f>2*((Table24582[[#This Row],[Precision]]*Table24582[[#This Row],[Recall]])/ (Table24582[[#This Row],[Precision]]+Table24582[[#This Row],[Recall]]))</f>
        <v>0.35238095238095202</v>
      </c>
    </row>
    <row r="27" spans="2:51" x14ac:dyDescent="0.25">
      <c r="B27" s="2">
        <v>23</v>
      </c>
      <c r="C27" s="2">
        <v>1019</v>
      </c>
      <c r="D27" s="2">
        <v>94</v>
      </c>
      <c r="E27" s="2">
        <v>18</v>
      </c>
      <c r="F27" s="2">
        <v>109</v>
      </c>
      <c r="G27" s="7">
        <v>0.493212669683257</v>
      </c>
      <c r="H27" s="7">
        <v>0.61167437464698904</v>
      </c>
      <c r="I27" s="7">
        <v>0.90967741935483803</v>
      </c>
      <c r="J27" s="7">
        <v>0.53694581280788101</v>
      </c>
      <c r="K27" s="7">
        <v>0.85826771653543299</v>
      </c>
      <c r="L27" s="7">
        <f>2 * ((Table26[[#This Row],[Precision]]*Table26[[#This Row],[Recall]])/(Table26[[#This Row],[Precision]]+Table26[[#This Row],[Recall]]))</f>
        <v>0.66060606060605997</v>
      </c>
      <c r="O27" s="2">
        <v>23</v>
      </c>
      <c r="P27" s="2">
        <v>1097</v>
      </c>
      <c r="Q27" s="2">
        <v>16</v>
      </c>
      <c r="R27" s="2">
        <v>117</v>
      </c>
      <c r="S27" s="2">
        <v>10</v>
      </c>
      <c r="T27" s="7">
        <v>6.9930069930069894E-2</v>
      </c>
      <c r="U27" s="7">
        <v>9.9368706175320703E-2</v>
      </c>
      <c r="V27" s="7">
        <v>0.89274193548387004</v>
      </c>
      <c r="W27" s="7">
        <v>0.38461538461538403</v>
      </c>
      <c r="X27" s="7">
        <v>7.8740157480314904E-2</v>
      </c>
      <c r="Y27" s="7">
        <f>2 * ((Table269[[#This Row],[Precision]]*Table269[[#This Row],[Recall]])/(Table269[[#This Row],[Precision]]+Table269[[#This Row],[Recall]]))</f>
        <v>0.13071895424836591</v>
      </c>
      <c r="AB27" s="2">
        <v>23</v>
      </c>
      <c r="AC27" s="2">
        <v>573</v>
      </c>
      <c r="AD27" s="2">
        <v>540</v>
      </c>
      <c r="AE27" s="2">
        <v>20</v>
      </c>
      <c r="AF27" s="2">
        <v>107</v>
      </c>
      <c r="AG27" s="7">
        <v>0.160419790104947</v>
      </c>
      <c r="AH27" s="7">
        <v>0.12700428200376601</v>
      </c>
      <c r="AI27" s="7">
        <v>0.54838709677419295</v>
      </c>
      <c r="AJ27" s="7">
        <v>0.165378670788253</v>
      </c>
      <c r="AK27" s="7">
        <v>0.84251968503937003</v>
      </c>
      <c r="AL27" s="7">
        <f>2*((Table2458[[#This Row],[Precision]]*Table2458[[#This Row],[Recall]])/(Table2458[[#This Row],[Recall]]+Table2458[[#This Row],[Precision]]))</f>
        <v>0.2764857881136944</v>
      </c>
      <c r="AO27" s="2">
        <v>23</v>
      </c>
      <c r="AP27" s="2">
        <v>1065</v>
      </c>
      <c r="AQ27" s="2">
        <v>48</v>
      </c>
      <c r="AR27" s="2">
        <v>50</v>
      </c>
      <c r="AS27" s="2">
        <v>77</v>
      </c>
      <c r="AT27" s="7">
        <v>0.44</v>
      </c>
      <c r="AU27" s="7">
        <v>0.56712855768888204</v>
      </c>
      <c r="AV27" s="7">
        <v>0.92096774193548303</v>
      </c>
      <c r="AW27" s="7">
        <v>0.61599999999999999</v>
      </c>
      <c r="AX27" s="7">
        <v>0.60629921259842501</v>
      </c>
      <c r="AY27" s="7">
        <f>2*((Table24582[[#This Row],[Precision]]*Table24582[[#This Row],[Recall]])/ (Table24582[[#This Row],[Precision]]+Table24582[[#This Row],[Recall]]))</f>
        <v>0.61111111111111094</v>
      </c>
    </row>
    <row r="28" spans="2:51" x14ac:dyDescent="0.25">
      <c r="B28" s="2">
        <v>24</v>
      </c>
      <c r="C28" s="2">
        <v>887</v>
      </c>
      <c r="D28" s="2">
        <v>83</v>
      </c>
      <c r="E28" s="2">
        <v>16</v>
      </c>
      <c r="F28" s="2">
        <v>74</v>
      </c>
      <c r="G28" s="7">
        <v>0.42774566473988401</v>
      </c>
      <c r="H28" s="7">
        <v>0.550693611919849</v>
      </c>
      <c r="I28" s="7">
        <v>0.90660377358490496</v>
      </c>
      <c r="J28" s="7">
        <v>0.47133757961783401</v>
      </c>
      <c r="K28" s="7">
        <v>0.82222222222222197</v>
      </c>
      <c r="L28" s="7">
        <f>2 * ((Table26[[#This Row],[Precision]]*Table26[[#This Row],[Recall]])/(Table26[[#This Row],[Precision]]+Table26[[#This Row],[Recall]]))</f>
        <v>0.59919028340080926</v>
      </c>
      <c r="O28" s="2">
        <v>24</v>
      </c>
      <c r="P28" s="2">
        <v>959</v>
      </c>
      <c r="Q28" s="2">
        <v>11</v>
      </c>
      <c r="R28" s="2">
        <v>75</v>
      </c>
      <c r="S28" s="2">
        <v>15</v>
      </c>
      <c r="T28" s="7">
        <v>0.14851485148514801</v>
      </c>
      <c r="U28" s="7">
        <v>0.229286438958403</v>
      </c>
      <c r="V28" s="7">
        <v>0.91886792452830102</v>
      </c>
      <c r="W28" s="7">
        <v>0.57692307692307598</v>
      </c>
      <c r="X28" s="7">
        <v>0.16666666666666599</v>
      </c>
      <c r="Y28" s="7">
        <f>2 * ((Table269[[#This Row],[Precision]]*Table269[[#This Row],[Recall]])/(Table269[[#This Row],[Precision]]+Table269[[#This Row],[Recall]]))</f>
        <v>0.25862068965517149</v>
      </c>
      <c r="AB28" s="2">
        <v>24</v>
      </c>
      <c r="AC28" s="2">
        <v>551</v>
      </c>
      <c r="AD28" s="2">
        <v>419</v>
      </c>
      <c r="AE28" s="2">
        <v>11</v>
      </c>
      <c r="AF28" s="2">
        <v>79</v>
      </c>
      <c r="AG28" s="7">
        <v>0.15520628683693499</v>
      </c>
      <c r="AH28" s="7">
        <v>0.145866126976988</v>
      </c>
      <c r="AI28" s="7">
        <v>0.59433962264150897</v>
      </c>
      <c r="AJ28" s="7">
        <v>0.15863453815261</v>
      </c>
      <c r="AK28" s="7">
        <v>0.87777777777777699</v>
      </c>
      <c r="AL28" s="7">
        <f>2*((Table2458[[#This Row],[Precision]]*Table2458[[#This Row],[Recall]])/(Table2458[[#This Row],[Recall]]+Table2458[[#This Row],[Precision]]))</f>
        <v>0.26870748299319663</v>
      </c>
      <c r="AO28" s="2">
        <v>24</v>
      </c>
      <c r="AP28" s="2">
        <v>936</v>
      </c>
      <c r="AQ28" s="2">
        <v>34</v>
      </c>
      <c r="AR28" s="2">
        <v>26</v>
      </c>
      <c r="AS28" s="2">
        <v>64</v>
      </c>
      <c r="AT28" s="7">
        <v>0.51612903225806395</v>
      </c>
      <c r="AU28" s="7">
        <v>0.64985685972252805</v>
      </c>
      <c r="AV28" s="7">
        <v>0.94339622641509402</v>
      </c>
      <c r="AW28" s="7">
        <v>0.65306122448979498</v>
      </c>
      <c r="AX28" s="7">
        <v>0.71111111111111103</v>
      </c>
      <c r="AY28" s="7">
        <f>2*((Table24582[[#This Row],[Precision]]*Table24582[[#This Row],[Recall]])/ (Table24582[[#This Row],[Precision]]+Table24582[[#This Row],[Recall]]))</f>
        <v>0.68085106382978666</v>
      </c>
    </row>
    <row r="29" spans="2:51" x14ac:dyDescent="0.25">
      <c r="B29" s="2">
        <v>25</v>
      </c>
      <c r="C29" s="2">
        <v>1212</v>
      </c>
      <c r="D29" s="2">
        <v>209</v>
      </c>
      <c r="E29" s="2">
        <v>4</v>
      </c>
      <c r="F29" s="2">
        <v>30</v>
      </c>
      <c r="G29" s="7">
        <v>0.12345679012345601</v>
      </c>
      <c r="H29" s="7">
        <v>0.18649580142953401</v>
      </c>
      <c r="I29" s="7">
        <v>0.85360824742268004</v>
      </c>
      <c r="J29" s="7">
        <v>0.125523012552301</v>
      </c>
      <c r="K29" s="7">
        <v>0.88235294117647001</v>
      </c>
      <c r="L29" s="7">
        <f>2 * ((Table26[[#This Row],[Precision]]*Table26[[#This Row],[Recall]])/(Table26[[#This Row],[Precision]]+Table26[[#This Row],[Recall]]))</f>
        <v>0.21978021978021939</v>
      </c>
      <c r="O29" s="2">
        <v>25</v>
      </c>
      <c r="P29" s="2">
        <v>1390</v>
      </c>
      <c r="Q29" s="2">
        <v>31</v>
      </c>
      <c r="R29" s="2">
        <v>28</v>
      </c>
      <c r="S29" s="2">
        <v>6</v>
      </c>
      <c r="T29" s="7">
        <v>9.2307692307692299E-2</v>
      </c>
      <c r="U29" s="7">
        <v>0.14827014852811601</v>
      </c>
      <c r="V29" s="7">
        <v>0.95945017182130499</v>
      </c>
      <c r="W29" s="7">
        <v>0.162162162162162</v>
      </c>
      <c r="X29" s="7">
        <v>0.17647058823529399</v>
      </c>
      <c r="Y29" s="7">
        <f>2 * ((Table269[[#This Row],[Precision]]*Table269[[#This Row],[Recall]])/(Table269[[#This Row],[Precision]]+Table269[[#This Row],[Recall]]))</f>
        <v>0.16901408450704211</v>
      </c>
      <c r="AB29" s="2">
        <v>25</v>
      </c>
      <c r="AC29" s="2">
        <v>859</v>
      </c>
      <c r="AD29" s="2">
        <v>562</v>
      </c>
      <c r="AE29" s="2">
        <v>5</v>
      </c>
      <c r="AF29" s="2">
        <v>29</v>
      </c>
      <c r="AG29" s="7">
        <v>4.8657718120805299E-2</v>
      </c>
      <c r="AH29" s="7">
        <v>5.0854419129600599E-2</v>
      </c>
      <c r="AI29" s="7">
        <v>0.61030927835051496</v>
      </c>
      <c r="AJ29" s="7">
        <v>4.9069373942470303E-2</v>
      </c>
      <c r="AK29" s="7">
        <v>0.85294117647058798</v>
      </c>
      <c r="AL29" s="7">
        <f>2*((Table2458[[#This Row],[Precision]]*Table2458[[#This Row],[Recall]])/(Table2458[[#This Row],[Recall]]+Table2458[[#This Row],[Precision]]))</f>
        <v>9.2799999999999841E-2</v>
      </c>
      <c r="AO29" s="2">
        <v>25</v>
      </c>
      <c r="AP29" s="2">
        <v>1312</v>
      </c>
      <c r="AQ29" s="2">
        <v>109</v>
      </c>
      <c r="AR29" s="2">
        <v>9</v>
      </c>
      <c r="AS29" s="2">
        <v>25</v>
      </c>
      <c r="AT29" s="7">
        <v>0.17482517482517401</v>
      </c>
      <c r="AU29" s="7">
        <v>0.270422559151481</v>
      </c>
      <c r="AV29" s="7">
        <v>0.91890034364261097</v>
      </c>
      <c r="AW29" s="7">
        <v>0.18656716417910399</v>
      </c>
      <c r="AX29" s="7">
        <v>0.73529411764705799</v>
      </c>
      <c r="AY29" s="7">
        <f>2*((Table24582[[#This Row],[Precision]]*Table24582[[#This Row],[Recall]])/ (Table24582[[#This Row],[Precision]]+Table24582[[#This Row],[Recall]]))</f>
        <v>0.29761904761904695</v>
      </c>
    </row>
    <row r="30" spans="2:51" x14ac:dyDescent="0.25">
      <c r="B30" s="2">
        <v>26</v>
      </c>
      <c r="C30" s="2">
        <v>843</v>
      </c>
      <c r="D30" s="2">
        <v>148</v>
      </c>
      <c r="E30" s="2">
        <v>10</v>
      </c>
      <c r="F30" s="2">
        <v>59</v>
      </c>
      <c r="G30" s="7">
        <v>0.27188940092165897</v>
      </c>
      <c r="H30" s="7">
        <v>0.36559164223429302</v>
      </c>
      <c r="I30" s="7">
        <v>0.85094339622641502</v>
      </c>
      <c r="J30" s="7">
        <v>0.28502415458937103</v>
      </c>
      <c r="K30" s="7">
        <v>0.85507246376811596</v>
      </c>
      <c r="L30" s="7">
        <f>2 * ((Table26[[#This Row],[Precision]]*Table26[[#This Row],[Recall]])/(Table26[[#This Row],[Precision]]+Table26[[#This Row],[Recall]]))</f>
        <v>0.42753623188405687</v>
      </c>
      <c r="O30" s="2">
        <v>26</v>
      </c>
      <c r="P30" s="2">
        <v>958</v>
      </c>
      <c r="Q30" s="2">
        <v>33</v>
      </c>
      <c r="R30" s="2">
        <v>50</v>
      </c>
      <c r="S30" s="2">
        <v>19</v>
      </c>
      <c r="T30" s="7">
        <v>0.18627450980392099</v>
      </c>
      <c r="U30" s="7">
        <v>0.27339698060850198</v>
      </c>
      <c r="V30" s="7">
        <v>0.92169811320754702</v>
      </c>
      <c r="W30" s="7">
        <v>0.36538461538461497</v>
      </c>
      <c r="X30" s="7">
        <v>0.27536231884057899</v>
      </c>
      <c r="Y30" s="7">
        <f>2 * ((Table269[[#This Row],[Precision]]*Table269[[#This Row],[Recall]])/(Table269[[#This Row],[Precision]]+Table269[[#This Row],[Recall]]))</f>
        <v>0.3140495867768589</v>
      </c>
      <c r="AB30" s="2">
        <v>26</v>
      </c>
      <c r="AC30" s="2">
        <v>623</v>
      </c>
      <c r="AD30" s="2">
        <v>368</v>
      </c>
      <c r="AE30" s="2">
        <v>10</v>
      </c>
      <c r="AF30" s="2">
        <v>59</v>
      </c>
      <c r="AG30" s="7">
        <v>0.13501144164759701</v>
      </c>
      <c r="AH30" s="7">
        <v>0.14170775907496</v>
      </c>
      <c r="AI30" s="7">
        <v>0.64339622641509397</v>
      </c>
      <c r="AJ30" s="7">
        <v>0.13817330210772799</v>
      </c>
      <c r="AK30" s="7">
        <v>0.85507246376811596</v>
      </c>
      <c r="AL30" s="7">
        <f>2*((Table2458[[#This Row],[Precision]]*Table2458[[#This Row],[Recall]])/(Table2458[[#This Row],[Recall]]+Table2458[[#This Row],[Precision]]))</f>
        <v>0.23790322580645107</v>
      </c>
      <c r="AO30" s="2">
        <v>26</v>
      </c>
      <c r="AP30" s="2">
        <v>916</v>
      </c>
      <c r="AQ30" s="2">
        <v>75</v>
      </c>
      <c r="AR30" s="2">
        <v>19</v>
      </c>
      <c r="AS30" s="2">
        <v>50</v>
      </c>
      <c r="AT30" s="7">
        <v>0.34722222222222199</v>
      </c>
      <c r="AU30" s="7">
        <v>0.47109719199532801</v>
      </c>
      <c r="AV30" s="7">
        <v>0.91132075471698104</v>
      </c>
      <c r="AW30" s="7">
        <v>0.4</v>
      </c>
      <c r="AX30" s="7">
        <v>0.72463768115941996</v>
      </c>
      <c r="AY30" s="7">
        <f>2*((Table24582[[#This Row],[Precision]]*Table24582[[#This Row],[Recall]])/ (Table24582[[#This Row],[Precision]]+Table24582[[#This Row],[Recall]]))</f>
        <v>0.51546391752577325</v>
      </c>
    </row>
    <row r="31" spans="2:51" x14ac:dyDescent="0.25">
      <c r="B31" s="2">
        <v>27</v>
      </c>
      <c r="C31" s="2">
        <v>448</v>
      </c>
      <c r="D31" s="2">
        <v>6</v>
      </c>
      <c r="E31" s="2">
        <v>350</v>
      </c>
      <c r="F31" s="2">
        <v>104</v>
      </c>
      <c r="G31" s="7">
        <v>0.22608695652173899</v>
      </c>
      <c r="H31" s="7">
        <v>0.215859030837004</v>
      </c>
      <c r="I31" s="7">
        <v>0.60792951541850204</v>
      </c>
      <c r="J31" s="7">
        <v>0.94545454545454499</v>
      </c>
      <c r="K31" s="7">
        <v>0.229074889867841</v>
      </c>
      <c r="L31" s="7">
        <f>2 * ((Table26[[#This Row],[Precision]]*Table26[[#This Row],[Recall]])/(Table26[[#This Row],[Precision]]+Table26[[#This Row],[Recall]]))</f>
        <v>0.36879432624113412</v>
      </c>
      <c r="O31" s="2">
        <v>27</v>
      </c>
      <c r="P31" s="2">
        <v>454</v>
      </c>
      <c r="Q31" s="2">
        <v>0</v>
      </c>
      <c r="R31" s="2">
        <v>415</v>
      </c>
      <c r="S31" s="2">
        <v>39</v>
      </c>
      <c r="T31" s="7">
        <v>8.5903083700440502E-2</v>
      </c>
      <c r="U31" s="7">
        <v>8.5903083700440405E-2</v>
      </c>
      <c r="V31" s="7">
        <v>0.54295154185021999</v>
      </c>
      <c r="W31" s="7">
        <v>1</v>
      </c>
      <c r="X31" s="7">
        <v>8.5903083700440502E-2</v>
      </c>
      <c r="Y31" s="7">
        <f>2 * ((Table269[[#This Row],[Precision]]*Table269[[#This Row],[Recall]])/(Table269[[#This Row],[Precision]]+Table269[[#This Row],[Recall]]))</f>
        <v>0.1582150101419878</v>
      </c>
      <c r="AB31" s="11">
        <v>27</v>
      </c>
      <c r="AC31" s="2">
        <v>420</v>
      </c>
      <c r="AD31" s="2">
        <v>34</v>
      </c>
      <c r="AE31" s="2">
        <v>190</v>
      </c>
      <c r="AF31" s="2">
        <v>264</v>
      </c>
      <c r="AG31" s="7">
        <v>0.54098360655737698</v>
      </c>
      <c r="AH31" s="7">
        <v>0.506607929515418</v>
      </c>
      <c r="AI31" s="7">
        <v>0.753303964757709</v>
      </c>
      <c r="AJ31" s="7">
        <v>0.88590604026845599</v>
      </c>
      <c r="AK31" s="7">
        <v>0.58149779735682805</v>
      </c>
      <c r="AL31" s="7">
        <f>2*((Table2458[[#This Row],[Precision]]*Table2458[[#This Row],[Recall]])/(Table2458[[#This Row],[Recall]]+Table2458[[#This Row],[Precision]]))</f>
        <v>0.70212765957446788</v>
      </c>
      <c r="AO31" s="28">
        <v>27</v>
      </c>
      <c r="AP31" s="2">
        <v>452</v>
      </c>
      <c r="AQ31" s="2">
        <v>2</v>
      </c>
      <c r="AR31" s="2">
        <v>372</v>
      </c>
      <c r="AS31" s="2">
        <v>82</v>
      </c>
      <c r="AT31" s="7">
        <v>0.179824561403508</v>
      </c>
      <c r="AU31" s="7">
        <v>0.17621145374449301</v>
      </c>
      <c r="AV31" s="7">
        <v>0.58810572687224605</v>
      </c>
      <c r="AW31" s="7">
        <v>0.97619047619047605</v>
      </c>
      <c r="AX31" s="7">
        <v>0.18061674008810499</v>
      </c>
      <c r="AY31" s="7">
        <f>2*((Table24582[[#This Row],[Precision]]*Table24582[[#This Row],[Recall]])/ (Table24582[[#This Row],[Precision]]+Table24582[[#This Row],[Recall]]))</f>
        <v>0.30483271375464582</v>
      </c>
    </row>
    <row r="32" spans="2:51" x14ac:dyDescent="0.25">
      <c r="B32" s="2">
        <v>28</v>
      </c>
      <c r="C32" s="2">
        <v>1021</v>
      </c>
      <c r="D32" s="2">
        <v>61</v>
      </c>
      <c r="E32" s="2">
        <v>12</v>
      </c>
      <c r="F32" s="2">
        <v>40</v>
      </c>
      <c r="G32" s="7">
        <v>0.35398230088495503</v>
      </c>
      <c r="H32" s="7">
        <v>0.49212873777592397</v>
      </c>
      <c r="I32" s="7">
        <v>0.93562610229276899</v>
      </c>
      <c r="J32" s="7">
        <v>0.396039603960396</v>
      </c>
      <c r="K32" s="7">
        <v>0.76923076923076905</v>
      </c>
      <c r="L32" s="7">
        <f>2 * ((Table26[[#This Row],[Precision]]*Table26[[#This Row],[Recall]])/(Table26[[#This Row],[Precision]]+Table26[[#This Row],[Recall]]))</f>
        <v>0.52287581699346386</v>
      </c>
      <c r="O32" s="2">
        <v>28</v>
      </c>
      <c r="P32" s="2">
        <v>1073</v>
      </c>
      <c r="Q32" s="2">
        <v>9</v>
      </c>
      <c r="R32" s="2">
        <v>41</v>
      </c>
      <c r="S32" s="2">
        <v>11</v>
      </c>
      <c r="T32" s="7">
        <v>0.18032786885245899</v>
      </c>
      <c r="U32" s="7">
        <v>0.287401970641463</v>
      </c>
      <c r="V32" s="7">
        <v>0.95590828924162197</v>
      </c>
      <c r="W32" s="7">
        <v>0.55000000000000004</v>
      </c>
      <c r="X32" s="7">
        <v>0.21153846153846101</v>
      </c>
      <c r="Y32" s="7">
        <f>2 * ((Table269[[#This Row],[Precision]]*Table269[[#This Row],[Recall]])/(Table269[[#This Row],[Precision]]+Table269[[#This Row],[Recall]]))</f>
        <v>0.30555555555555497</v>
      </c>
      <c r="AB32" s="2">
        <v>28</v>
      </c>
      <c r="AC32" s="2">
        <v>840</v>
      </c>
      <c r="AD32" s="2">
        <v>242</v>
      </c>
      <c r="AE32" s="2">
        <v>13</v>
      </c>
      <c r="AF32" s="2">
        <v>39</v>
      </c>
      <c r="AG32" s="7">
        <v>0.132653061224489</v>
      </c>
      <c r="AH32" s="7">
        <v>0.17000097589538399</v>
      </c>
      <c r="AI32" s="7">
        <v>0.77513227513227501</v>
      </c>
      <c r="AJ32" s="7">
        <v>0.138790035587188</v>
      </c>
      <c r="AK32" s="7">
        <v>0.75</v>
      </c>
      <c r="AL32" s="7">
        <f>2*((Table2458[[#This Row],[Precision]]*Table2458[[#This Row],[Recall]])/(Table2458[[#This Row],[Recall]]+Table2458[[#This Row],[Precision]]))</f>
        <v>0.23423423423423334</v>
      </c>
      <c r="AO32" s="2">
        <v>29</v>
      </c>
      <c r="AP32" s="2">
        <v>931</v>
      </c>
      <c r="AQ32" s="2">
        <v>202</v>
      </c>
      <c r="AR32" s="2">
        <v>10</v>
      </c>
      <c r="AS32" s="2">
        <v>75</v>
      </c>
      <c r="AT32" s="7">
        <v>0.26132404181184599</v>
      </c>
      <c r="AU32" s="7">
        <v>0.34433988614261102</v>
      </c>
      <c r="AV32" s="7">
        <v>0.82594417077175697</v>
      </c>
      <c r="AW32" s="7">
        <v>0.27075812274368199</v>
      </c>
      <c r="AX32" s="7">
        <v>0.88235294117647001</v>
      </c>
      <c r="AY32" s="7">
        <f>2*((Table24582[[#This Row],[Precision]]*Table24582[[#This Row],[Recall]])/ (Table24582[[#This Row],[Precision]]+Table24582[[#This Row],[Recall]]))</f>
        <v>0.41436464088397745</v>
      </c>
    </row>
    <row r="33" spans="2:51" x14ac:dyDescent="0.25">
      <c r="B33" s="2">
        <v>29</v>
      </c>
      <c r="C33" s="2">
        <v>788</v>
      </c>
      <c r="D33" s="2">
        <v>345</v>
      </c>
      <c r="E33" s="2">
        <v>9</v>
      </c>
      <c r="F33" s="2">
        <v>76</v>
      </c>
      <c r="G33" s="7">
        <v>0.17674418604651099</v>
      </c>
      <c r="H33" s="7">
        <v>0.208478204200918</v>
      </c>
      <c r="I33" s="7">
        <v>0.70935960591132996</v>
      </c>
      <c r="J33" s="7">
        <v>0.18052256532066499</v>
      </c>
      <c r="K33" s="7">
        <v>0.89411764705882302</v>
      </c>
      <c r="L33" s="7">
        <f>2 * ((Table26[[#This Row],[Precision]]*Table26[[#This Row],[Recall]])/(Table26[[#This Row],[Precision]]+Table26[[#This Row],[Recall]]))</f>
        <v>0.30039525691699587</v>
      </c>
      <c r="O33" s="2">
        <v>29</v>
      </c>
      <c r="P33" s="2">
        <v>1005</v>
      </c>
      <c r="Q33" s="2">
        <v>128</v>
      </c>
      <c r="R33" s="2">
        <v>35</v>
      </c>
      <c r="S33" s="2">
        <v>50</v>
      </c>
      <c r="T33" s="7">
        <v>0.23474178403755799</v>
      </c>
      <c r="U33" s="7">
        <v>0.31557464646952099</v>
      </c>
      <c r="V33" s="7">
        <v>0.86617405582922802</v>
      </c>
      <c r="W33" s="7">
        <v>0.28089887640449401</v>
      </c>
      <c r="X33" s="7">
        <v>0.58823529411764697</v>
      </c>
      <c r="Y33" s="7">
        <f>2 * ((Table269[[#This Row],[Precision]]*Table269[[#This Row],[Recall]])/(Table269[[#This Row],[Precision]]+Table269[[#This Row],[Recall]]))</f>
        <v>0.38022813688212898</v>
      </c>
      <c r="AB33" s="2">
        <v>29</v>
      </c>
      <c r="AC33" s="2">
        <v>604</v>
      </c>
      <c r="AD33" s="2">
        <v>529</v>
      </c>
      <c r="AE33" s="2">
        <v>7</v>
      </c>
      <c r="AF33" s="2">
        <v>78</v>
      </c>
      <c r="AG33" s="7">
        <v>0.12703583061889201</v>
      </c>
      <c r="AH33" s="7">
        <v>0.117374598805406</v>
      </c>
      <c r="AI33" s="7">
        <v>0.55993431855500797</v>
      </c>
      <c r="AJ33" s="7">
        <v>0.12850082372322899</v>
      </c>
      <c r="AK33" s="7">
        <v>0.91764705882352904</v>
      </c>
      <c r="AL33" s="7">
        <f>2*((Table2458[[#This Row],[Precision]]*Table2458[[#This Row],[Recall]])/(Table2458[[#This Row],[Recall]]+Table2458[[#This Row],[Precision]]))</f>
        <v>0.22543352601156066</v>
      </c>
      <c r="AO33" s="2">
        <v>30</v>
      </c>
      <c r="AP33" s="2">
        <v>1126</v>
      </c>
      <c r="AQ33" s="2">
        <v>71</v>
      </c>
      <c r="AR33" s="2">
        <v>65</v>
      </c>
      <c r="AS33" s="2">
        <v>24</v>
      </c>
      <c r="AT33" s="7">
        <v>0.15</v>
      </c>
      <c r="AU33" s="7">
        <v>0.20398336018642399</v>
      </c>
      <c r="AV33" s="7">
        <v>0.89424572317262796</v>
      </c>
      <c r="AW33" s="7">
        <v>0.25263157894736799</v>
      </c>
      <c r="AX33" s="7">
        <v>0.26966292134831399</v>
      </c>
      <c r="AY33" s="7">
        <f>2*((Table24582[[#This Row],[Precision]]*Table24582[[#This Row],[Recall]])/ (Table24582[[#This Row],[Precision]]+Table24582[[#This Row],[Recall]]))</f>
        <v>0.26086956521739074</v>
      </c>
    </row>
    <row r="34" spans="2:51" x14ac:dyDescent="0.25">
      <c r="B34" s="2">
        <v>30</v>
      </c>
      <c r="C34" s="2">
        <v>1056</v>
      </c>
      <c r="D34" s="2">
        <v>141</v>
      </c>
      <c r="E34" s="2">
        <v>61</v>
      </c>
      <c r="F34" s="2">
        <v>28</v>
      </c>
      <c r="G34" s="7">
        <v>0.121739130434782</v>
      </c>
      <c r="H34" s="7">
        <v>0.13898961240412799</v>
      </c>
      <c r="I34" s="7">
        <v>0.84292379471228596</v>
      </c>
      <c r="J34" s="7">
        <v>0.165680473372781</v>
      </c>
      <c r="K34" s="7">
        <v>0.31460674157303298</v>
      </c>
      <c r="L34" s="7">
        <f>2 * ((Table26[[#This Row],[Precision]]*Table26[[#This Row],[Recall]])/(Table26[[#This Row],[Precision]]+Table26[[#This Row],[Recall]]))</f>
        <v>0.21705426356589128</v>
      </c>
      <c r="O34" s="2">
        <v>30</v>
      </c>
      <c r="P34" s="2">
        <v>1181</v>
      </c>
      <c r="Q34" s="2">
        <v>16</v>
      </c>
      <c r="R34" s="2">
        <v>77</v>
      </c>
      <c r="S34" s="2">
        <v>12</v>
      </c>
      <c r="T34" s="7">
        <v>0.114285714285714</v>
      </c>
      <c r="U34" s="7">
        <v>0.177896314219331</v>
      </c>
      <c r="V34" s="7">
        <v>0.92768273716951699</v>
      </c>
      <c r="W34" s="7">
        <v>0.42857142857142799</v>
      </c>
      <c r="X34" s="7">
        <v>0.13483146067415699</v>
      </c>
      <c r="Y34" s="7">
        <f>2 * ((Table269[[#This Row],[Precision]]*Table269[[#This Row],[Recall]])/(Table269[[#This Row],[Precision]]+Table269[[#This Row],[Recall]]))</f>
        <v>0.2051282051282047</v>
      </c>
      <c r="AB34" s="2">
        <v>30</v>
      </c>
      <c r="AC34" s="2">
        <v>699</v>
      </c>
      <c r="AD34" s="2">
        <v>498</v>
      </c>
      <c r="AE34" s="2">
        <v>16</v>
      </c>
      <c r="AF34" s="2">
        <v>73</v>
      </c>
      <c r="AG34" s="7">
        <v>0.12436115843270799</v>
      </c>
      <c r="AH34" s="7">
        <v>0.11526631527381</v>
      </c>
      <c r="AI34" s="7">
        <v>0.60031104199066798</v>
      </c>
      <c r="AJ34" s="7">
        <v>0.12784588441330999</v>
      </c>
      <c r="AK34" s="7">
        <v>0.82022471910112305</v>
      </c>
      <c r="AL34" s="7">
        <f>2*((Table2458[[#This Row],[Precision]]*Table2458[[#This Row],[Recall]])/(Table2458[[#This Row],[Recall]]+Table2458[[#This Row],[Precision]]))</f>
        <v>0.22121212121212122</v>
      </c>
      <c r="AO34" s="2">
        <v>28</v>
      </c>
      <c r="AP34" s="2">
        <v>1056</v>
      </c>
      <c r="AQ34" s="2">
        <v>26</v>
      </c>
      <c r="AR34" s="2">
        <v>19</v>
      </c>
      <c r="AS34" s="2">
        <v>33</v>
      </c>
      <c r="AT34" s="7">
        <v>0.42307692307692302</v>
      </c>
      <c r="AU34" s="7">
        <v>0.57381950592126196</v>
      </c>
      <c r="AV34" s="7">
        <v>0.96031746031746001</v>
      </c>
      <c r="AW34" s="7">
        <v>0.55932203389830504</v>
      </c>
      <c r="AX34" s="7">
        <v>0.63461538461538403</v>
      </c>
      <c r="AY34" s="7">
        <f>2*((Table24582[[#This Row],[Precision]]*Table24582[[#This Row],[Recall]])/ (Table24582[[#This Row],[Precision]]+Table24582[[#This Row],[Recall]]))</f>
        <v>0.59459459459459429</v>
      </c>
    </row>
    <row r="35" spans="2:51" x14ac:dyDescent="0.25">
      <c r="B35" s="3" t="s">
        <v>11</v>
      </c>
      <c r="C35" s="3">
        <f t="shared" ref="C35:K35" si="0">AVERAGE(C5:C34)</f>
        <v>1057.3</v>
      </c>
      <c r="D35" s="3">
        <f t="shared" si="0"/>
        <v>95.8</v>
      </c>
      <c r="E35" s="3">
        <f t="shared" si="0"/>
        <v>59.766666666666666</v>
      </c>
      <c r="F35" s="3">
        <f t="shared" si="0"/>
        <v>52.1</v>
      </c>
      <c r="G35" s="6">
        <f t="shared" si="0"/>
        <v>0.26580962615328285</v>
      </c>
      <c r="H35" s="6">
        <f t="shared" si="0"/>
        <v>0.34799805641568343</v>
      </c>
      <c r="I35" s="6">
        <f t="shared" si="0"/>
        <v>0.87336214385963062</v>
      </c>
      <c r="J35" s="6">
        <f t="shared" si="0"/>
        <v>0.39367147355283794</v>
      </c>
      <c r="K35" s="6">
        <f t="shared" si="0"/>
        <v>0.58029117401811348</v>
      </c>
      <c r="L35" s="6">
        <f>2 * ((Table26[[#This Row],[Precision]]*Table26[[#This Row],[Recall]])/(Table26[[#This Row],[Precision]]+Table26[[#This Row],[Recall]]))</f>
        <v>0.46910234624531699</v>
      </c>
      <c r="O35" s="3" t="s">
        <v>11</v>
      </c>
      <c r="P35" s="3">
        <f t="shared" ref="P35:X35" si="1">AVERAGE(P5:P34)</f>
        <v>1133.0666666666666</v>
      </c>
      <c r="Q35" s="3">
        <f t="shared" si="1"/>
        <v>20.033333333333335</v>
      </c>
      <c r="R35" s="3">
        <f t="shared" si="1"/>
        <v>92.9</v>
      </c>
      <c r="S35" s="3">
        <f t="shared" si="1"/>
        <v>18.966666666666665</v>
      </c>
      <c r="T35" s="6">
        <f t="shared" si="1"/>
        <v>0.16440830296338624</v>
      </c>
      <c r="U35" s="6">
        <f t="shared" si="1"/>
        <v>0.24022234521334146</v>
      </c>
      <c r="V35" s="6">
        <f t="shared" si="1"/>
        <v>0.90672231863385766</v>
      </c>
      <c r="W35" s="6">
        <f t="shared" si="1"/>
        <v>0.51229718587380924</v>
      </c>
      <c r="X35" s="6">
        <f t="shared" si="1"/>
        <v>0.22020777605262368</v>
      </c>
      <c r="Y35" s="6">
        <f>2 * ((Table269[[#This Row],[Precision]]*Table269[[#This Row],[Recall]])/(Table269[[#This Row],[Precision]]+Table269[[#This Row],[Recall]]))</f>
        <v>0.30801654553329583</v>
      </c>
      <c r="AB35" s="3" t="s">
        <v>11</v>
      </c>
      <c r="AC35" s="3">
        <f>AVERAGE(AC5:AC34)</f>
        <v>722.9</v>
      </c>
      <c r="AD35" s="3">
        <f t="shared" ref="AD35:AK35" si="2">AVERAGE(AD5:AD34)</f>
        <v>430.2</v>
      </c>
      <c r="AE35" s="3">
        <f t="shared" si="2"/>
        <v>29.9</v>
      </c>
      <c r="AF35" s="3">
        <f t="shared" si="2"/>
        <v>81.966666666666669</v>
      </c>
      <c r="AG35" s="3">
        <f t="shared" si="2"/>
        <v>0.15365485742853233</v>
      </c>
      <c r="AH35" s="3">
        <f t="shared" si="2"/>
        <v>0.14635280692190328</v>
      </c>
      <c r="AI35" s="3">
        <f t="shared" si="2"/>
        <v>0.63788723372431533</v>
      </c>
      <c r="AJ35" s="3">
        <f t="shared" si="2"/>
        <v>0.17461754142830094</v>
      </c>
      <c r="AK35" s="3">
        <f t="shared" si="2"/>
        <v>0.77158664306974256</v>
      </c>
      <c r="AL35" s="7">
        <f>2*((Table2458[[#This Row],[Precision]]*Table2458[[#This Row],[Recall]])/(Table2458[[#This Row],[Recall]]+Table2458[[#This Row],[Precision]]))</f>
        <v>0.28478538738069387</v>
      </c>
      <c r="AO35" s="3" t="s">
        <v>11</v>
      </c>
      <c r="AP35" s="3">
        <f>AVERAGE(AP5:AP34)</f>
        <v>1108.0999999999999</v>
      </c>
      <c r="AQ35" s="3">
        <f t="shared" ref="AQ35" si="3">AVERAGE(AQ5:AQ34)</f>
        <v>45</v>
      </c>
      <c r="AR35" s="3">
        <f t="shared" ref="AR35" si="4">AVERAGE(AR5:AR34)</f>
        <v>68.933333333333337</v>
      </c>
      <c r="AS35" s="3">
        <f t="shared" ref="AS35" si="5">AVERAGE(AS5:AS34)</f>
        <v>42.93333333333333</v>
      </c>
      <c r="AT35" s="3">
        <f t="shared" ref="AT35" si="6">AVERAGE(AT5:AT34)</f>
        <v>0.29287401393314266</v>
      </c>
      <c r="AU35" s="3">
        <f t="shared" ref="AU35" si="7">AVERAGE(AU5:AU34)</f>
        <v>0.39636959442231745</v>
      </c>
      <c r="AV35" s="3">
        <f t="shared" ref="AV35" si="8">AVERAGE(AV5:AV34)</f>
        <v>0.90635733985420874</v>
      </c>
      <c r="AW35" s="3">
        <f t="shared" ref="AW35" si="9">AVERAGE(AW5:AW34)</f>
        <v>0.5244682436294279</v>
      </c>
      <c r="AX35" s="3">
        <f t="shared" ref="AX35" si="10">AVERAGE(AX5:AX34)</f>
        <v>0.48073274866475602</v>
      </c>
      <c r="AY35" s="7">
        <f>2*((Table24582[[#This Row],[Precision]]*Table24582[[#This Row],[Recall]])/ (Table24582[[#This Row],[Precision]]+Table24582[[#This Row],[Recall]]))</f>
        <v>0.50164904786238651</v>
      </c>
    </row>
    <row r="36" spans="2:51" x14ac:dyDescent="0.25">
      <c r="B36" s="2" t="s">
        <v>19</v>
      </c>
      <c r="C36" s="2">
        <f>MEDIAN(C5:C34)</f>
        <v>1026.5</v>
      </c>
      <c r="D36" s="2">
        <f t="shared" ref="D36:L36" si="11">MEDIAN(D5:D34)</f>
        <v>75</v>
      </c>
      <c r="E36" s="2">
        <f t="shared" si="11"/>
        <v>24.5</v>
      </c>
      <c r="F36" s="2">
        <f t="shared" si="11"/>
        <v>43</v>
      </c>
      <c r="G36" s="2">
        <f t="shared" si="11"/>
        <v>0.22502698035829899</v>
      </c>
      <c r="H36" s="2">
        <f t="shared" si="11"/>
        <v>0.30766552650871748</v>
      </c>
      <c r="I36" s="2">
        <f t="shared" si="11"/>
        <v>0.88970334128969697</v>
      </c>
      <c r="J36" s="2">
        <f t="shared" si="11"/>
        <v>0.33538166647874551</v>
      </c>
      <c r="K36" s="2">
        <f t="shared" si="11"/>
        <v>0.64557946590614446</v>
      </c>
      <c r="L36" s="2">
        <f t="shared" si="11"/>
        <v>0.3673824557366196</v>
      </c>
      <c r="O36" s="2" t="s">
        <v>19</v>
      </c>
      <c r="P36" s="2">
        <f>MEDIAN(P5:P34)</f>
        <v>1091</v>
      </c>
      <c r="Q36" s="2">
        <f t="shared" ref="Q36:Y36" si="12">MEDIAN(Q5:Q34)</f>
        <v>13.5</v>
      </c>
      <c r="R36" s="2">
        <f t="shared" si="12"/>
        <v>76</v>
      </c>
      <c r="S36" s="2">
        <f t="shared" si="12"/>
        <v>15</v>
      </c>
      <c r="T36" s="2">
        <f t="shared" si="12"/>
        <v>0.1511805026656505</v>
      </c>
      <c r="U36" s="2">
        <f t="shared" si="12"/>
        <v>0.22832539682775249</v>
      </c>
      <c r="V36" s="2">
        <f t="shared" si="12"/>
        <v>0.91927331969386894</v>
      </c>
      <c r="W36" s="2">
        <f t="shared" si="12"/>
        <v>0.48842592592592549</v>
      </c>
      <c r="X36" s="2">
        <f t="shared" si="12"/>
        <v>0.18500948766603398</v>
      </c>
      <c r="Y36" s="2">
        <f t="shared" si="12"/>
        <v>0.26264367816091894</v>
      </c>
      <c r="AB36" s="2" t="s">
        <v>19</v>
      </c>
      <c r="AC36" s="2">
        <f>MEDIAN(AC5:AC34)</f>
        <v>732</v>
      </c>
      <c r="AD36" s="2">
        <f t="shared" ref="AD36:AK36" si="13">MEDIAN(AD5:AD34)</f>
        <v>451.5</v>
      </c>
      <c r="AE36" s="2">
        <f t="shared" si="13"/>
        <v>18</v>
      </c>
      <c r="AF36" s="2">
        <f t="shared" si="13"/>
        <v>75.5</v>
      </c>
      <c r="AG36" s="2">
        <f t="shared" si="13"/>
        <v>0.13598756900861653</v>
      </c>
      <c r="AH36" s="2">
        <f t="shared" si="13"/>
        <v>0.12218944040458601</v>
      </c>
      <c r="AI36" s="2">
        <f t="shared" si="13"/>
        <v>0.63693035364470552</v>
      </c>
      <c r="AJ36" s="2">
        <f t="shared" si="13"/>
        <v>0.1423733215411285</v>
      </c>
      <c r="AK36" s="2">
        <f t="shared" si="13"/>
        <v>0.78625815808556854</v>
      </c>
      <c r="AL36" s="7"/>
      <c r="AO36" s="2" t="s">
        <v>19</v>
      </c>
      <c r="AP36" s="2">
        <f>MEDIAN(AP5:AP34)</f>
        <v>1060.5</v>
      </c>
      <c r="AQ36" s="2">
        <f t="shared" ref="AQ36:AX36" si="14">MEDIAN(AQ5:AQ34)</f>
        <v>32</v>
      </c>
      <c r="AR36" s="2">
        <f t="shared" si="14"/>
        <v>54</v>
      </c>
      <c r="AS36" s="2">
        <f t="shared" si="14"/>
        <v>35</v>
      </c>
      <c r="AT36" s="2">
        <f t="shared" si="14"/>
        <v>0.25466202090592299</v>
      </c>
      <c r="AU36" s="2">
        <f t="shared" si="14"/>
        <v>0.34834454685404648</v>
      </c>
      <c r="AV36" s="2">
        <f t="shared" si="14"/>
        <v>0.92311981419851352</v>
      </c>
      <c r="AW36" s="2">
        <f t="shared" si="14"/>
        <v>0.55037187288708544</v>
      </c>
      <c r="AX36" s="2">
        <f t="shared" si="14"/>
        <v>0.55997474747474696</v>
      </c>
      <c r="AY36" s="7"/>
    </row>
    <row r="37" spans="2:51" x14ac:dyDescent="0.25">
      <c r="B37" s="2" t="s">
        <v>23</v>
      </c>
      <c r="C37" s="2"/>
      <c r="D37" s="2"/>
      <c r="E37" s="2"/>
      <c r="F37" s="2"/>
      <c r="G37" s="7">
        <f>MAX(G5:G34)</f>
        <v>0.60344827586206895</v>
      </c>
      <c r="H37" s="7"/>
      <c r="I37" s="7"/>
      <c r="J37" s="7"/>
      <c r="K37" s="7"/>
      <c r="L37" s="7" t="e">
        <f>2 * ((Table26[[#This Row],[Precision]]*Table26[[#This Row],[Recall]])/(Table26[[#This Row],[Precision]]+Table26[[#This Row],[Recall]]))</f>
        <v>#DIV/0!</v>
      </c>
      <c r="O37" s="2" t="s">
        <v>23</v>
      </c>
      <c r="P37" s="2"/>
      <c r="Q37" s="2"/>
      <c r="R37" s="2"/>
      <c r="S37" s="2"/>
      <c r="T37" s="7">
        <f>MAX(T5:T34)</f>
        <v>0.44186046511627902</v>
      </c>
      <c r="U37" s="7"/>
      <c r="V37" s="7"/>
      <c r="W37" s="7"/>
      <c r="X37" s="7"/>
      <c r="Y37" s="7" t="e">
        <f>2 * ((Table269[[#This Row],[Precision]]*Table269[[#This Row],[Recall]])/(Table269[[#This Row],[Precision]]+Table269[[#This Row],[Recall]]))</f>
        <v>#DIV/0!</v>
      </c>
      <c r="AB37" s="2" t="s">
        <v>26</v>
      </c>
      <c r="AC37" s="2">
        <f>MAX(AC5:AC34)</f>
        <v>1030</v>
      </c>
      <c r="AD37" s="2"/>
      <c r="AE37" s="2"/>
      <c r="AF37" s="2"/>
      <c r="AG37" s="7">
        <f>MAX(AG5:AG34)</f>
        <v>0.54098360655737698</v>
      </c>
      <c r="AH37" s="7"/>
      <c r="AI37" s="7"/>
      <c r="AJ37" s="7"/>
      <c r="AK37" s="7"/>
      <c r="AL37" s="7" t="e">
        <f>2 * ((Table269[[#This Row],[Precision]]*Table269[[#This Row],[Recall]])/(Table269[[#This Row],[Precision]]+Table269[[#This Row],[Recall]]))</f>
        <v>#DIV/0!</v>
      </c>
      <c r="AO37" s="2" t="s">
        <v>26</v>
      </c>
      <c r="AP37" s="2">
        <f>MAX(AP5:AP34)</f>
        <v>1504</v>
      </c>
      <c r="AQ37" s="2"/>
      <c r="AR37" s="2"/>
      <c r="AS37" s="2"/>
      <c r="AT37" s="7">
        <f>MAX(AT5:AT34)</f>
        <v>0.56783919597989896</v>
      </c>
      <c r="AU37" s="7"/>
      <c r="AV37" s="7"/>
      <c r="AW37" s="7"/>
      <c r="AX37" s="7"/>
      <c r="AY37" s="7" t="e">
        <f>2 * ((Table269[[#This Row],[Precision]]*Table269[[#This Row],[Recall]])/(Table269[[#This Row],[Precision]]+Table269[[#This Row],[Recall]]))</f>
        <v>#DIV/0!</v>
      </c>
    </row>
    <row r="38" spans="2:51" x14ac:dyDescent="0.25">
      <c r="C38">
        <f>SUM(C5:F34)</f>
        <v>37949</v>
      </c>
      <c r="O38" s="2" t="s">
        <v>24</v>
      </c>
      <c r="P38" s="2"/>
      <c r="Q38" s="2"/>
      <c r="R38" s="2"/>
      <c r="S38" s="2"/>
      <c r="T38" s="7">
        <f>MIN(T5:T34)</f>
        <v>3.6697247706422E-2</v>
      </c>
      <c r="U38" s="7"/>
      <c r="V38" s="7"/>
      <c r="W38" s="7"/>
      <c r="X38" s="7"/>
      <c r="Y38" s="7" t="e">
        <f>2 * ((Table269[[#This Row],[Precision]]*Table269[[#This Row],[Recall]])/(Table269[[#This Row],[Precision]]+Table269[[#This Row],[Recall]]))</f>
        <v>#DIV/0!</v>
      </c>
      <c r="AB38" s="2" t="s">
        <v>27</v>
      </c>
      <c r="AC38" s="2"/>
      <c r="AD38" s="2"/>
      <c r="AE38" s="2"/>
      <c r="AF38" s="2"/>
      <c r="AG38" s="7">
        <f>MIN(AG5:AG34)</f>
        <v>2.1052631578947299E-2</v>
      </c>
      <c r="AH38" s="7"/>
      <c r="AI38" s="7"/>
      <c r="AJ38" s="7"/>
      <c r="AK38" s="7"/>
      <c r="AL38" s="7" t="e">
        <f>2 * ((Table269[[#This Row],[Precision]]*Table269[[#This Row],[Recall]])/(Table269[[#This Row],[Precision]]+Table269[[#This Row],[Recall]]))</f>
        <v>#DIV/0!</v>
      </c>
      <c r="AO38" s="2" t="s">
        <v>27</v>
      </c>
      <c r="AP38" s="2"/>
      <c r="AQ38" s="2"/>
      <c r="AR38" s="2"/>
      <c r="AS38" s="2"/>
      <c r="AT38" s="7">
        <f>MIN(AT5:AT34)</f>
        <v>4.5801526717557203E-2</v>
      </c>
      <c r="AU38" s="7"/>
      <c r="AV38" s="7"/>
      <c r="AW38" s="7"/>
      <c r="AX38" s="7"/>
      <c r="AY38" s="7" t="e">
        <f>2 * ((Table269[[#This Row],[Precision]]*Table269[[#This Row],[Recall]])/(Table269[[#This Row],[Precision]]+Table269[[#This Row],[Recall]]))</f>
        <v>#DIV/0!</v>
      </c>
    </row>
    <row r="39" spans="2:51" x14ac:dyDescent="0.25">
      <c r="B39" t="s">
        <v>24</v>
      </c>
      <c r="G39" s="10">
        <f>MIN(G5:G34)</f>
        <v>4.5112781954887202E-2</v>
      </c>
    </row>
  </sheetData>
  <pageMargins left="0.7" right="0.7" top="0.75" bottom="0.75" header="0.3" footer="0.3"/>
  <tableParts count="4">
    <tablePart r:id="rId1"/>
    <tablePart r:id="rId2"/>
    <tablePart r:id="rId3"/>
    <tablePart r:id="rId4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5E42B6-0C69-46AE-8A71-436E8219257C}">
  <dimension ref="C3:Z43"/>
  <sheetViews>
    <sheetView tabSelected="1" topLeftCell="B1" workbookViewId="0">
      <selection activeCell="H43" sqref="H43:I43"/>
    </sheetView>
  </sheetViews>
  <sheetFormatPr defaultRowHeight="15" x14ac:dyDescent="0.25"/>
  <sheetData>
    <row r="3" spans="3:26" x14ac:dyDescent="0.25">
      <c r="D3" t="s">
        <v>15</v>
      </c>
      <c r="S3" t="s">
        <v>16</v>
      </c>
    </row>
    <row r="5" spans="3:26" x14ac:dyDescent="0.25">
      <c r="C5" s="2" t="s">
        <v>1</v>
      </c>
      <c r="D5" s="2" t="s">
        <v>2</v>
      </c>
      <c r="E5" s="2" t="s">
        <v>3</v>
      </c>
      <c r="F5" s="2" t="s">
        <v>4</v>
      </c>
      <c r="G5" s="2" t="s">
        <v>5</v>
      </c>
      <c r="H5" s="2" t="s">
        <v>6</v>
      </c>
      <c r="I5" s="2" t="s">
        <v>7</v>
      </c>
      <c r="J5" s="2" t="s">
        <v>8</v>
      </c>
      <c r="K5" s="2" t="s">
        <v>9</v>
      </c>
      <c r="L5" s="2" t="s">
        <v>10</v>
      </c>
      <c r="M5" s="2" t="s">
        <v>14</v>
      </c>
      <c r="P5" s="2" t="s">
        <v>1</v>
      </c>
      <c r="Q5" s="2" t="s">
        <v>2</v>
      </c>
      <c r="R5" s="2" t="s">
        <v>3</v>
      </c>
      <c r="S5" s="2" t="s">
        <v>4</v>
      </c>
      <c r="T5" s="2" t="s">
        <v>5</v>
      </c>
      <c r="U5" s="2" t="s">
        <v>6</v>
      </c>
      <c r="V5" s="2" t="s">
        <v>7</v>
      </c>
      <c r="W5" s="2" t="s">
        <v>8</v>
      </c>
      <c r="X5" s="2" t="s">
        <v>9</v>
      </c>
      <c r="Y5" s="2" t="s">
        <v>10</v>
      </c>
      <c r="Z5" s="2" t="s">
        <v>14</v>
      </c>
    </row>
    <row r="6" spans="3:26" x14ac:dyDescent="0.25">
      <c r="C6" s="2">
        <v>1</v>
      </c>
      <c r="D6" s="2">
        <v>1162</v>
      </c>
      <c r="E6" s="2">
        <v>219</v>
      </c>
      <c r="F6" s="2">
        <v>13</v>
      </c>
      <c r="G6" s="2">
        <v>69</v>
      </c>
      <c r="H6" s="7">
        <v>0.22923588039867099</v>
      </c>
      <c r="I6" s="7">
        <v>0.31303154562639801</v>
      </c>
      <c r="J6" s="7">
        <v>0.84142173615857796</v>
      </c>
      <c r="K6" s="7">
        <v>0.23958333333333301</v>
      </c>
      <c r="L6" s="7">
        <v>0.84146341463414598</v>
      </c>
      <c r="M6" s="7">
        <f>2 * ((Table2610[[#This Row],[Precision]]*Table2610[[#This Row],[Recall]])/(Table2610[[#This Row],[Precision]]+Table2610[[#This Row],[Recall]]))</f>
        <v>0.37297297297297255</v>
      </c>
      <c r="P6" s="2">
        <v>1</v>
      </c>
      <c r="Q6" s="2">
        <v>1351</v>
      </c>
      <c r="R6" s="2">
        <v>30</v>
      </c>
      <c r="S6" s="2">
        <v>48</v>
      </c>
      <c r="T6" s="2">
        <v>34</v>
      </c>
      <c r="U6" s="7">
        <v>0.30357142857142799</v>
      </c>
      <c r="V6" s="7">
        <v>0.43814438065602501</v>
      </c>
      <c r="W6" s="7">
        <v>0.94668489405331502</v>
      </c>
      <c r="X6" s="7">
        <v>0.53125</v>
      </c>
      <c r="Y6" s="7">
        <v>0.41463414634146301</v>
      </c>
      <c r="Z6" s="7">
        <f>2 * ((Table26911[[#This Row],[Precision]]*Table26911[[#This Row],[Recall]])/(Table26911[[#This Row],[Precision]]+Table26911[[#This Row],[Recall]]))</f>
        <v>0.465753424657534</v>
      </c>
    </row>
    <row r="7" spans="3:26" x14ac:dyDescent="0.25">
      <c r="C7" s="2">
        <v>5</v>
      </c>
      <c r="D7" s="2">
        <v>1309</v>
      </c>
      <c r="E7" s="2">
        <v>52</v>
      </c>
      <c r="F7" s="2">
        <v>53</v>
      </c>
      <c r="G7" s="2">
        <v>80</v>
      </c>
      <c r="H7" s="7">
        <v>0.43243243243243201</v>
      </c>
      <c r="I7" s="7">
        <v>0.56521377612957902</v>
      </c>
      <c r="J7" s="7">
        <v>0.92971887550200805</v>
      </c>
      <c r="K7" s="7">
        <v>0.60606060606060597</v>
      </c>
      <c r="L7" s="7">
        <v>0.60150375939849599</v>
      </c>
      <c r="M7" s="7">
        <f>2 * ((Table2610[[#This Row],[Precision]]*Table2610[[#This Row],[Recall]])/(Table2610[[#This Row],[Precision]]+Table2610[[#This Row],[Recall]]))</f>
        <v>0.60377358490566024</v>
      </c>
      <c r="P7" s="2">
        <v>5</v>
      </c>
      <c r="Q7" s="2">
        <v>1348</v>
      </c>
      <c r="R7" s="2">
        <v>13</v>
      </c>
      <c r="S7" s="2">
        <v>107</v>
      </c>
      <c r="T7" s="2">
        <v>26</v>
      </c>
      <c r="U7" s="7">
        <v>0.17808219178082099</v>
      </c>
      <c r="V7" s="7">
        <v>0.27297501155745901</v>
      </c>
      <c r="W7" s="7">
        <v>0.91967871485943697</v>
      </c>
      <c r="X7" s="7">
        <v>0.66666666666666596</v>
      </c>
      <c r="Y7" s="7">
        <v>0.19548872180451099</v>
      </c>
      <c r="Z7" s="7">
        <f>2 * ((Table26911[[#This Row],[Precision]]*Table26911[[#This Row],[Recall]])/(Table26911[[#This Row],[Precision]]+Table26911[[#This Row],[Recall]]))</f>
        <v>0.30232558139534838</v>
      </c>
    </row>
    <row r="8" spans="3:26" x14ac:dyDescent="0.25">
      <c r="C8" s="2">
        <v>12</v>
      </c>
      <c r="D8" s="2">
        <v>1280</v>
      </c>
      <c r="E8" s="2">
        <v>66</v>
      </c>
      <c r="F8" s="2">
        <v>62</v>
      </c>
      <c r="G8" s="2">
        <v>69</v>
      </c>
      <c r="H8" s="7">
        <v>0.35025380710659898</v>
      </c>
      <c r="I8" s="7">
        <v>0.47118977824520503</v>
      </c>
      <c r="J8" s="7">
        <v>0.91333784698713605</v>
      </c>
      <c r="K8" s="7">
        <v>0.51111111111111096</v>
      </c>
      <c r="L8" s="7">
        <v>0.52671755725190805</v>
      </c>
      <c r="M8" s="7">
        <f>2 * ((Table2610[[#This Row],[Precision]]*Table2610[[#This Row],[Recall]])/(Table2610[[#This Row],[Precision]]+Table2610[[#This Row],[Recall]]))</f>
        <v>0.51879699248120281</v>
      </c>
      <c r="P8" s="2">
        <v>12</v>
      </c>
      <c r="Q8" s="2">
        <v>1339</v>
      </c>
      <c r="R8" s="2">
        <v>7</v>
      </c>
      <c r="S8" s="2">
        <v>116</v>
      </c>
      <c r="T8" s="2">
        <v>15</v>
      </c>
      <c r="U8" s="7">
        <v>0.108695652173913</v>
      </c>
      <c r="V8" s="7">
        <v>0.17503644132832499</v>
      </c>
      <c r="W8" s="7">
        <v>0.91672308733920105</v>
      </c>
      <c r="X8" s="7">
        <v>0.68181818181818099</v>
      </c>
      <c r="Y8" s="7">
        <v>0.114503816793893</v>
      </c>
      <c r="Z8" s="7">
        <f>2 * ((Table26911[[#This Row],[Precision]]*Table26911[[#This Row],[Recall]])/(Table26911[[#This Row],[Precision]]+Table26911[[#This Row],[Recall]]))</f>
        <v>0.19607843137254882</v>
      </c>
    </row>
    <row r="9" spans="3:26" x14ac:dyDescent="0.25">
      <c r="C9" s="2">
        <v>17</v>
      </c>
      <c r="D9" s="2">
        <v>886</v>
      </c>
      <c r="E9" s="2">
        <v>160</v>
      </c>
      <c r="F9" s="2">
        <v>15</v>
      </c>
      <c r="G9" s="2">
        <v>51</v>
      </c>
      <c r="H9" s="7">
        <v>0.225663716814159</v>
      </c>
      <c r="I9" s="7">
        <v>0.30542666647630701</v>
      </c>
      <c r="J9" s="7">
        <v>0.84262589928057496</v>
      </c>
      <c r="K9" s="7">
        <v>0.24170616113744001</v>
      </c>
      <c r="L9" s="7">
        <v>0.77272727272727204</v>
      </c>
      <c r="M9" s="7">
        <f>2 * ((Table2610[[#This Row],[Precision]]*Table2610[[#This Row],[Recall]])/(Table2610[[#This Row],[Precision]]+Table2610[[#This Row],[Recall]]))</f>
        <v>0.36823104693140696</v>
      </c>
      <c r="P9" s="2">
        <v>17</v>
      </c>
      <c r="Q9" s="2">
        <v>1017</v>
      </c>
      <c r="R9" s="2">
        <v>29</v>
      </c>
      <c r="S9" s="2">
        <v>43</v>
      </c>
      <c r="T9" s="2">
        <v>23</v>
      </c>
      <c r="U9" s="7">
        <v>0.24210526315789399</v>
      </c>
      <c r="V9" s="7">
        <v>0.35615028306742103</v>
      </c>
      <c r="W9" s="7">
        <v>0.93525179856115104</v>
      </c>
      <c r="X9" s="7">
        <v>0.44230769230769201</v>
      </c>
      <c r="Y9" s="7">
        <v>0.34848484848484801</v>
      </c>
      <c r="Z9" s="7">
        <f>2 * ((Table26911[[#This Row],[Precision]]*Table26911[[#This Row],[Recall]])/(Table26911[[#This Row],[Precision]]+Table26911[[#This Row],[Recall]]))</f>
        <v>0.38983050847457584</v>
      </c>
    </row>
    <row r="10" spans="3:26" x14ac:dyDescent="0.25">
      <c r="C10" s="2">
        <v>19</v>
      </c>
      <c r="D10" s="2">
        <v>1011</v>
      </c>
      <c r="E10" s="2">
        <v>101</v>
      </c>
      <c r="F10" s="2">
        <v>55</v>
      </c>
      <c r="G10" s="2">
        <v>40</v>
      </c>
      <c r="H10" s="7">
        <v>0.20408163265306101</v>
      </c>
      <c r="I10" s="7">
        <v>0.27036138602351401</v>
      </c>
      <c r="J10" s="7">
        <v>0.87075393537696699</v>
      </c>
      <c r="K10" s="7">
        <v>0.28368794326241098</v>
      </c>
      <c r="L10" s="7">
        <v>0.42105263157894701</v>
      </c>
      <c r="M10" s="7">
        <f>2 * ((Table2610[[#This Row],[Precision]]*Table2610[[#This Row],[Recall]])/(Table2610[[#This Row],[Precision]]+Table2610[[#This Row],[Recall]]))</f>
        <v>0.33898305084745728</v>
      </c>
      <c r="P10" s="2">
        <v>19</v>
      </c>
      <c r="Q10" s="2">
        <v>1085</v>
      </c>
      <c r="R10" s="2">
        <v>27</v>
      </c>
      <c r="S10" s="2">
        <v>82</v>
      </c>
      <c r="T10" s="2">
        <v>13</v>
      </c>
      <c r="U10" s="7">
        <v>0.10655737704918</v>
      </c>
      <c r="V10" s="7">
        <v>0.153091506002769</v>
      </c>
      <c r="W10" s="7">
        <v>0.90969345484672703</v>
      </c>
      <c r="X10" s="7">
        <v>0.32500000000000001</v>
      </c>
      <c r="Y10" s="7">
        <v>0.13684210526315699</v>
      </c>
      <c r="Z10" s="7">
        <f>2 * ((Table26911[[#This Row],[Precision]]*Table26911[[#This Row],[Recall]])/(Table26911[[#This Row],[Precision]]+Table26911[[#This Row],[Recall]]))</f>
        <v>0.19259259259259168</v>
      </c>
    </row>
    <row r="11" spans="3:26" x14ac:dyDescent="0.25">
      <c r="C11" s="2">
        <v>25</v>
      </c>
      <c r="D11" s="2">
        <v>1212</v>
      </c>
      <c r="E11" s="2">
        <v>209</v>
      </c>
      <c r="F11" s="2">
        <v>4</v>
      </c>
      <c r="G11" s="2">
        <v>30</v>
      </c>
      <c r="H11" s="7">
        <v>0.12345679012345601</v>
      </c>
      <c r="I11" s="7">
        <v>0.18649580142953401</v>
      </c>
      <c r="J11" s="7">
        <v>0.85360824742268004</v>
      </c>
      <c r="K11" s="7">
        <v>0.125523012552301</v>
      </c>
      <c r="L11" s="7">
        <v>0.88235294117647001</v>
      </c>
      <c r="M11" s="7">
        <f>2 * ((Table2610[[#This Row],[Precision]]*Table2610[[#This Row],[Recall]])/(Table2610[[#This Row],[Precision]]+Table2610[[#This Row],[Recall]]))</f>
        <v>0.21978021978021939</v>
      </c>
      <c r="P11" s="2">
        <v>25</v>
      </c>
      <c r="Q11" s="2">
        <v>1390</v>
      </c>
      <c r="R11" s="2">
        <v>31</v>
      </c>
      <c r="S11" s="2">
        <v>28</v>
      </c>
      <c r="T11" s="2">
        <v>6</v>
      </c>
      <c r="U11" s="7">
        <v>9.2307692307692299E-2</v>
      </c>
      <c r="V11" s="7">
        <v>0.14827014852811601</v>
      </c>
      <c r="W11" s="7">
        <v>0.95945017182130499</v>
      </c>
      <c r="X11" s="7">
        <v>0.162162162162162</v>
      </c>
      <c r="Y11" s="7">
        <v>0.17647058823529399</v>
      </c>
      <c r="Z11" s="7">
        <f>2 * ((Table26911[[#This Row],[Precision]]*Table26911[[#This Row],[Recall]])/(Table26911[[#This Row],[Precision]]+Table26911[[#This Row],[Recall]]))</f>
        <v>0.16901408450704211</v>
      </c>
    </row>
    <row r="12" spans="3:26" x14ac:dyDescent="0.25">
      <c r="C12" s="2">
        <v>27</v>
      </c>
      <c r="D12" s="2">
        <v>448</v>
      </c>
      <c r="E12" s="2">
        <v>6</v>
      </c>
      <c r="F12" s="2">
        <v>350</v>
      </c>
      <c r="G12" s="2">
        <v>104</v>
      </c>
      <c r="H12" s="7">
        <v>0.22608695652173899</v>
      </c>
      <c r="I12" s="7">
        <v>0.215859030837004</v>
      </c>
      <c r="J12" s="7">
        <v>0.60792951541850204</v>
      </c>
      <c r="K12" s="7">
        <v>0.94545454545454499</v>
      </c>
      <c r="L12" s="7">
        <v>0.229074889867841</v>
      </c>
      <c r="M12" s="7">
        <f>2 * ((Table2610[[#This Row],[Precision]]*Table2610[[#This Row],[Recall]])/(Table2610[[#This Row],[Precision]]+Table2610[[#This Row],[Recall]]))</f>
        <v>0.36879432624113412</v>
      </c>
      <c r="P12" s="2">
        <v>27</v>
      </c>
      <c r="Q12" s="2">
        <v>454</v>
      </c>
      <c r="R12" s="2">
        <v>0</v>
      </c>
      <c r="S12" s="2">
        <v>415</v>
      </c>
      <c r="T12" s="2">
        <v>39</v>
      </c>
      <c r="U12" s="7">
        <v>8.5903083700440502E-2</v>
      </c>
      <c r="V12" s="7">
        <v>8.5903083700440405E-2</v>
      </c>
      <c r="W12" s="7">
        <v>0.54295154185021999</v>
      </c>
      <c r="X12" s="7">
        <v>1</v>
      </c>
      <c r="Y12" s="7">
        <v>8.5903083700440502E-2</v>
      </c>
      <c r="Z12" s="7">
        <f>2 * ((Table26911[[#This Row],[Precision]]*Table26911[[#This Row],[Recall]])/(Table26911[[#This Row],[Precision]]+Table26911[[#This Row],[Recall]]))</f>
        <v>0.1582150101419878</v>
      </c>
    </row>
    <row r="13" spans="3:26" x14ac:dyDescent="0.25">
      <c r="C13" s="2">
        <v>28</v>
      </c>
      <c r="D13" s="2">
        <v>1021</v>
      </c>
      <c r="E13" s="2">
        <v>61</v>
      </c>
      <c r="F13" s="2">
        <v>12</v>
      </c>
      <c r="G13" s="2">
        <v>40</v>
      </c>
      <c r="H13" s="7">
        <v>0.35398230088495503</v>
      </c>
      <c r="I13" s="7">
        <v>0.49212873777592397</v>
      </c>
      <c r="J13" s="7">
        <v>0.93562610229276899</v>
      </c>
      <c r="K13" s="7">
        <v>0.396039603960396</v>
      </c>
      <c r="L13" s="7">
        <v>0.76923076923076905</v>
      </c>
      <c r="M13" s="7">
        <f>2 * ((Table2610[[#This Row],[Precision]]*Table2610[[#This Row],[Recall]])/(Table2610[[#This Row],[Precision]]+Table2610[[#This Row],[Recall]]))</f>
        <v>0.52287581699346386</v>
      </c>
      <c r="P13" s="2">
        <v>28</v>
      </c>
      <c r="Q13" s="2">
        <v>1073</v>
      </c>
      <c r="R13" s="2">
        <v>9</v>
      </c>
      <c r="S13" s="2">
        <v>41</v>
      </c>
      <c r="T13" s="2">
        <v>11</v>
      </c>
      <c r="U13" s="7">
        <v>0.18032786885245899</v>
      </c>
      <c r="V13" s="7">
        <v>0.287401970641463</v>
      </c>
      <c r="W13" s="7">
        <v>0.95590828924162197</v>
      </c>
      <c r="X13" s="7">
        <v>0.55000000000000004</v>
      </c>
      <c r="Y13" s="7">
        <v>0.21153846153846101</v>
      </c>
      <c r="Z13" s="7">
        <f>2 * ((Table26911[[#This Row],[Precision]]*Table26911[[#This Row],[Recall]])/(Table26911[[#This Row],[Precision]]+Table26911[[#This Row],[Recall]]))</f>
        <v>0.30555555555555497</v>
      </c>
    </row>
    <row r="14" spans="3:26" x14ac:dyDescent="0.25">
      <c r="C14" s="3" t="s">
        <v>11</v>
      </c>
      <c r="D14" s="3">
        <f t="shared" ref="D14:L14" si="0">AVERAGE(D6:D13)</f>
        <v>1041.125</v>
      </c>
      <c r="E14" s="3">
        <f t="shared" si="0"/>
        <v>109.25</v>
      </c>
      <c r="F14" s="3">
        <f t="shared" si="0"/>
        <v>70.5</v>
      </c>
      <c r="G14" s="3">
        <f t="shared" si="0"/>
        <v>60.375</v>
      </c>
      <c r="H14" s="6">
        <f t="shared" si="0"/>
        <v>0.268149189616884</v>
      </c>
      <c r="I14" s="6">
        <f t="shared" si="0"/>
        <v>0.35246334031793319</v>
      </c>
      <c r="J14" s="6">
        <f t="shared" si="0"/>
        <v>0.84937776980490187</v>
      </c>
      <c r="K14" s="6">
        <f t="shared" si="0"/>
        <v>0.41864578960901783</v>
      </c>
      <c r="L14" s="6">
        <f t="shared" si="0"/>
        <v>0.63051540448323118</v>
      </c>
      <c r="M14" s="6">
        <f>2 * ((Table2610[[#This Row],[Precision]]*Table2610[[#This Row],[Recall]])/(Table2610[[#This Row],[Precision]]+Table2610[[#This Row],[Recall]]))</f>
        <v>0.50318791975320099</v>
      </c>
      <c r="P14" s="3" t="s">
        <v>11</v>
      </c>
      <c r="Q14" s="3">
        <f t="shared" ref="Q14:Y14" si="1">AVERAGE(Q6:Q13)</f>
        <v>1132.125</v>
      </c>
      <c r="R14" s="3">
        <f t="shared" si="1"/>
        <v>18.25</v>
      </c>
      <c r="S14" s="3">
        <f t="shared" si="1"/>
        <v>110</v>
      </c>
      <c r="T14" s="3">
        <f t="shared" si="1"/>
        <v>20.875</v>
      </c>
      <c r="U14" s="6">
        <f t="shared" si="1"/>
        <v>0.16219381969922847</v>
      </c>
      <c r="V14" s="6">
        <f t="shared" si="1"/>
        <v>0.23962160318525227</v>
      </c>
      <c r="W14" s="6">
        <f t="shared" si="1"/>
        <v>0.88579274407162223</v>
      </c>
      <c r="X14" s="6">
        <f t="shared" si="1"/>
        <v>0.54490058786933759</v>
      </c>
      <c r="Y14" s="6">
        <f t="shared" si="1"/>
        <v>0.21048322152025842</v>
      </c>
      <c r="Z14" s="6">
        <f>2 * ((Table26911[[#This Row],[Precision]]*Table26911[[#This Row],[Recall]])/(Table26911[[#This Row],[Precision]]+Table26911[[#This Row],[Recall]]))</f>
        <v>0.30366663864744592</v>
      </c>
    </row>
    <row r="15" spans="3:26" x14ac:dyDescent="0.25">
      <c r="C15" s="2" t="s">
        <v>18</v>
      </c>
      <c r="D15" s="2">
        <f>SUM(D6:D13)</f>
        <v>8329</v>
      </c>
      <c r="E15" s="2">
        <f>SUM(E6:E13)</f>
        <v>874</v>
      </c>
      <c r="F15" s="2">
        <f>SUM(F6:F13)</f>
        <v>564</v>
      </c>
      <c r="G15" s="2">
        <f>SUM(G6:G13)</f>
        <v>483</v>
      </c>
      <c r="H15" s="7">
        <f>Table2610[[#This Row],[RR]]/(Table2610[[#This Row],[RR]]+Table2610[[#This Row],[RN]]+Table2610[[#This Row],[NR]])</f>
        <v>0.25143154606975532</v>
      </c>
      <c r="I15" s="7"/>
      <c r="J15" s="7"/>
      <c r="K15" s="7"/>
      <c r="L15" s="7"/>
      <c r="M15" s="7"/>
    </row>
    <row r="18" spans="10:20" x14ac:dyDescent="0.25">
      <c r="N18" t="s">
        <v>17</v>
      </c>
    </row>
    <row r="20" spans="10:20" x14ac:dyDescent="0.25">
      <c r="J20" s="2" t="s">
        <v>1</v>
      </c>
      <c r="K20" s="2" t="s">
        <v>2</v>
      </c>
      <c r="L20" s="2" t="s">
        <v>3</v>
      </c>
      <c r="M20" s="2" t="s">
        <v>4</v>
      </c>
      <c r="N20" s="2" t="s">
        <v>5</v>
      </c>
      <c r="O20" s="2" t="s">
        <v>6</v>
      </c>
      <c r="P20" s="2" t="s">
        <v>7</v>
      </c>
      <c r="Q20" s="2" t="s">
        <v>8</v>
      </c>
      <c r="R20" s="2" t="s">
        <v>9</v>
      </c>
      <c r="S20" s="2" t="s">
        <v>10</v>
      </c>
      <c r="T20" s="2" t="s">
        <v>14</v>
      </c>
    </row>
    <row r="21" spans="10:20" x14ac:dyDescent="0.25">
      <c r="J21" s="2">
        <v>1</v>
      </c>
      <c r="K21" s="2">
        <v>1349</v>
      </c>
      <c r="L21" s="2">
        <v>32</v>
      </c>
      <c r="M21" s="2">
        <v>47</v>
      </c>
      <c r="N21" s="2">
        <v>35</v>
      </c>
      <c r="O21" s="8">
        <f>Table261014[[#This Row],[RR]]/((Table261014[[#This Row],[NR]]+Table261014[[#This Row],[RN]]+Table261014[[#This Row],[RR]]))</f>
        <v>0.30701754385964913</v>
      </c>
      <c r="P21" s="8">
        <v>0.442</v>
      </c>
      <c r="Q21" s="7"/>
      <c r="R21" s="7"/>
      <c r="S21" s="7"/>
      <c r="T21" s="7"/>
    </row>
    <row r="22" spans="10:20" x14ac:dyDescent="0.25">
      <c r="J22" s="2">
        <v>5</v>
      </c>
      <c r="K22" s="2">
        <v>1360</v>
      </c>
      <c r="L22" s="2">
        <v>1</v>
      </c>
      <c r="M22" s="2">
        <v>119</v>
      </c>
      <c r="N22" s="2">
        <v>14</v>
      </c>
      <c r="O22" s="8">
        <f>Table261014[[#This Row],[RR]]/((Table261014[[#This Row],[NR]]+Table261014[[#This Row],[RN]]+Table261014[[#This Row],[RR]]))</f>
        <v>0.1044776119402985</v>
      </c>
      <c r="P22" s="8">
        <v>0.17399999999999999</v>
      </c>
      <c r="Q22" s="7"/>
      <c r="R22" s="7"/>
      <c r="S22" s="7"/>
      <c r="T22" s="7"/>
    </row>
    <row r="23" spans="10:20" x14ac:dyDescent="0.25">
      <c r="J23" s="2">
        <v>12</v>
      </c>
      <c r="K23" s="2">
        <v>838</v>
      </c>
      <c r="L23" s="2">
        <v>17</v>
      </c>
      <c r="M23" s="2">
        <v>508</v>
      </c>
      <c r="N23" s="2">
        <v>114</v>
      </c>
      <c r="O23" s="8">
        <f>Table261014[[#This Row],[RR]]/((Table261014[[#This Row],[NR]]+Table261014[[#This Row],[RN]]+Table261014[[#This Row],[RR]]))</f>
        <v>0.17840375586854459</v>
      </c>
      <c r="P23" s="8">
        <v>0.183</v>
      </c>
      <c r="Q23" s="7"/>
      <c r="R23" s="7"/>
      <c r="S23" s="7"/>
      <c r="T23" s="7"/>
    </row>
    <row r="24" spans="10:20" x14ac:dyDescent="0.25">
      <c r="J24" s="2">
        <v>17</v>
      </c>
      <c r="K24" s="2">
        <v>1040</v>
      </c>
      <c r="L24" s="2">
        <v>53</v>
      </c>
      <c r="M24" s="2">
        <v>6</v>
      </c>
      <c r="N24" s="2">
        <v>13</v>
      </c>
      <c r="O24" s="8">
        <f>Table261014[[#This Row],[RR]]/((Table261014[[#This Row],[NR]]+Table261014[[#This Row],[RN]]+Table261014[[#This Row],[RR]]))</f>
        <v>0.18055555555555555</v>
      </c>
      <c r="P24" s="8">
        <v>0.28599999999999998</v>
      </c>
      <c r="Q24" s="7"/>
      <c r="R24" s="7"/>
      <c r="S24" s="7"/>
      <c r="T24" s="7"/>
    </row>
    <row r="25" spans="10:20" x14ac:dyDescent="0.25">
      <c r="J25" s="2">
        <v>19</v>
      </c>
      <c r="K25" s="2">
        <v>977</v>
      </c>
      <c r="L25" s="2">
        <v>25</v>
      </c>
      <c r="M25" s="2">
        <v>134</v>
      </c>
      <c r="N25" s="2">
        <v>70</v>
      </c>
      <c r="O25" s="8">
        <f>Table261014[[#This Row],[RR]]/((Table261014[[#This Row],[NR]]+Table261014[[#This Row],[RN]]+Table261014[[#This Row],[RR]]))</f>
        <v>0.3056768558951965</v>
      </c>
      <c r="P25" s="8">
        <v>0.40400000000000003</v>
      </c>
      <c r="Q25" s="7"/>
      <c r="R25" s="7"/>
      <c r="S25" s="7"/>
      <c r="T25" s="7"/>
    </row>
    <row r="26" spans="10:20" x14ac:dyDescent="0.25">
      <c r="J26" s="2">
        <v>25</v>
      </c>
      <c r="K26" s="2">
        <v>1351</v>
      </c>
      <c r="L26" s="2">
        <v>70</v>
      </c>
      <c r="M26" s="2">
        <v>6</v>
      </c>
      <c r="N26" s="2">
        <v>28</v>
      </c>
      <c r="O26" s="8">
        <f>Table261014[[#This Row],[RR]]/((Table261014[[#This Row],[NR]]+Table261014[[#This Row],[RN]]+Table261014[[#This Row],[RR]]))</f>
        <v>0.26923076923076922</v>
      </c>
      <c r="P26" s="8">
        <v>0.40400000000000003</v>
      </c>
      <c r="Q26" s="7"/>
      <c r="R26" s="7"/>
      <c r="S26" s="7"/>
      <c r="T26" s="7"/>
    </row>
    <row r="27" spans="10:20" x14ac:dyDescent="0.25">
      <c r="J27" s="2">
        <v>27</v>
      </c>
      <c r="K27" s="2">
        <v>437</v>
      </c>
      <c r="L27" s="2">
        <v>17</v>
      </c>
      <c r="M27" s="2">
        <v>158</v>
      </c>
      <c r="N27" s="2">
        <v>296</v>
      </c>
      <c r="O27" s="8">
        <f>Table261014[[#This Row],[RR]]/((Table261014[[#This Row],[NR]]+Table261014[[#This Row],[RN]]+Table261014[[#This Row],[RR]]))</f>
        <v>0.6284501061571125</v>
      </c>
      <c r="P27" s="8">
        <v>0.61399999999999999</v>
      </c>
      <c r="Q27" s="7"/>
      <c r="R27" s="7"/>
      <c r="S27" s="7"/>
      <c r="T27" s="7"/>
    </row>
    <row r="28" spans="10:20" x14ac:dyDescent="0.25">
      <c r="J28" s="2">
        <v>28</v>
      </c>
      <c r="K28" s="2">
        <v>1070</v>
      </c>
      <c r="L28" s="2">
        <v>10</v>
      </c>
      <c r="M28" s="2">
        <v>17</v>
      </c>
      <c r="N28" s="2">
        <v>35</v>
      </c>
      <c r="O28" s="8">
        <f>Table261014[[#This Row],[RR]]/((Table261014[[#This Row],[NR]]+Table261014[[#This Row],[RN]]+Table261014[[#This Row],[RR]]))</f>
        <v>0.56451612903225812</v>
      </c>
      <c r="P28" s="8">
        <v>0.70899999999999996</v>
      </c>
      <c r="Q28" s="7"/>
      <c r="R28" s="7"/>
      <c r="S28" s="7"/>
      <c r="T28" s="7"/>
    </row>
    <row r="29" spans="10:20" x14ac:dyDescent="0.25">
      <c r="J29" s="3" t="s">
        <v>11</v>
      </c>
      <c r="K29" s="3">
        <f t="shared" ref="K29:P29" si="2">AVERAGE(K21:K28)</f>
        <v>1052.75</v>
      </c>
      <c r="L29" s="3">
        <f t="shared" si="2"/>
        <v>28.125</v>
      </c>
      <c r="M29" s="3">
        <f t="shared" si="2"/>
        <v>124.375</v>
      </c>
      <c r="N29" s="3">
        <f t="shared" si="2"/>
        <v>75.625</v>
      </c>
      <c r="O29" s="9">
        <f t="shared" si="2"/>
        <v>0.317291040942423</v>
      </c>
      <c r="P29" s="9">
        <f t="shared" si="2"/>
        <v>0.40199999999999997</v>
      </c>
      <c r="Q29" s="6"/>
      <c r="R29" s="6"/>
      <c r="S29" s="6"/>
      <c r="T29" s="6"/>
    </row>
    <row r="30" spans="10:20" x14ac:dyDescent="0.25">
      <c r="J30" s="2" t="s">
        <v>18</v>
      </c>
      <c r="K30" s="2">
        <f>SUM(K21:K28)</f>
        <v>8422</v>
      </c>
      <c r="L30" s="2">
        <f>SUM(L21:L28)</f>
        <v>225</v>
      </c>
      <c r="M30" s="2">
        <f>SUM(M21:M28)</f>
        <v>995</v>
      </c>
      <c r="N30" s="2">
        <f>SUM(N21:N28)</f>
        <v>605</v>
      </c>
      <c r="O30" s="8">
        <f>Table261014[[#This Row],[RR]]/(Table261014[[#This Row],[RR]]+Table261014[[#This Row],[RN]]+Table261014[[#This Row],[NR]])</f>
        <v>0.33150684931506852</v>
      </c>
      <c r="P30" s="8"/>
      <c r="Q30" s="7"/>
      <c r="R30" s="7"/>
      <c r="S30" s="7"/>
      <c r="T30" s="7"/>
    </row>
    <row r="33" spans="3:12" ht="15.75" thickBot="1" x14ac:dyDescent="0.3">
      <c r="G33" t="s">
        <v>25</v>
      </c>
    </row>
    <row r="34" spans="3:12" ht="15.75" thickBot="1" x14ac:dyDescent="0.3">
      <c r="C34" s="21" t="s">
        <v>1</v>
      </c>
      <c r="D34" s="21" t="s">
        <v>2</v>
      </c>
      <c r="E34" s="21" t="s">
        <v>3</v>
      </c>
      <c r="F34" s="21" t="s">
        <v>4</v>
      </c>
      <c r="G34" s="21" t="s">
        <v>5</v>
      </c>
      <c r="H34" s="21" t="s">
        <v>6</v>
      </c>
      <c r="I34" s="21" t="s">
        <v>7</v>
      </c>
      <c r="J34" s="21" t="s">
        <v>8</v>
      </c>
      <c r="K34" s="21" t="s">
        <v>9</v>
      </c>
      <c r="L34" s="21" t="s">
        <v>10</v>
      </c>
    </row>
    <row r="35" spans="3:12" x14ac:dyDescent="0.25">
      <c r="C35" s="29">
        <v>1</v>
      </c>
      <c r="D35" s="29">
        <v>1310</v>
      </c>
      <c r="E35" s="29">
        <v>71</v>
      </c>
      <c r="F35" s="29">
        <v>22</v>
      </c>
      <c r="G35" s="29">
        <v>60</v>
      </c>
      <c r="H35" s="24">
        <v>0.39215686274509798</v>
      </c>
      <c r="I35" s="24">
        <v>0.53104933910076302</v>
      </c>
      <c r="J35" s="24">
        <v>0.93643198906356795</v>
      </c>
      <c r="K35" s="24">
        <v>0.45801526717557201</v>
      </c>
      <c r="L35" s="24">
        <v>0.73170731707317005</v>
      </c>
    </row>
    <row r="36" spans="3:12" x14ac:dyDescent="0.25">
      <c r="C36" s="29">
        <v>5</v>
      </c>
      <c r="D36" s="29">
        <v>1335</v>
      </c>
      <c r="E36" s="29">
        <v>26</v>
      </c>
      <c r="F36" s="29">
        <v>84</v>
      </c>
      <c r="G36" s="29">
        <v>49</v>
      </c>
      <c r="H36" s="24">
        <v>0.30817610062893003</v>
      </c>
      <c r="I36" s="24">
        <v>0.43487321270142498</v>
      </c>
      <c r="J36" s="24">
        <v>0.92637215528781702</v>
      </c>
      <c r="K36" s="24">
        <v>0.65333333333333299</v>
      </c>
      <c r="L36" s="24">
        <v>0.36842105263157798</v>
      </c>
    </row>
    <row r="37" spans="3:12" x14ac:dyDescent="0.25">
      <c r="C37" s="2">
        <v>12</v>
      </c>
      <c r="D37" s="2">
        <v>1331</v>
      </c>
      <c r="E37" s="2">
        <v>15</v>
      </c>
      <c r="F37" s="2">
        <v>100</v>
      </c>
      <c r="G37" s="2">
        <v>31</v>
      </c>
      <c r="H37" s="7">
        <v>0.21232876712328699</v>
      </c>
      <c r="I37" s="7">
        <v>0.31888265557769901</v>
      </c>
      <c r="J37" s="7">
        <v>0.922139471902505</v>
      </c>
      <c r="K37" s="7">
        <v>0.67391304347825998</v>
      </c>
      <c r="L37" s="7">
        <v>0.236641221374045</v>
      </c>
    </row>
    <row r="38" spans="3:12" x14ac:dyDescent="0.25">
      <c r="C38" s="29">
        <v>17</v>
      </c>
      <c r="D38" s="29">
        <v>1001</v>
      </c>
      <c r="E38" s="29">
        <v>45</v>
      </c>
      <c r="F38" s="29">
        <v>26</v>
      </c>
      <c r="G38" s="29">
        <v>40</v>
      </c>
      <c r="H38" s="24">
        <v>0.36036036036036001</v>
      </c>
      <c r="I38" s="24">
        <v>0.49613254027008302</v>
      </c>
      <c r="J38" s="24">
        <v>0.93615107913669005</v>
      </c>
      <c r="K38" s="24">
        <v>0.47058823529411697</v>
      </c>
      <c r="L38" s="24">
        <v>0.60606060606060597</v>
      </c>
    </row>
    <row r="39" spans="3:12" x14ac:dyDescent="0.25">
      <c r="C39" s="29">
        <v>19</v>
      </c>
      <c r="D39" s="29">
        <v>1044</v>
      </c>
      <c r="E39" s="29">
        <v>68</v>
      </c>
      <c r="F39" s="29">
        <v>63</v>
      </c>
      <c r="G39" s="29">
        <v>32</v>
      </c>
      <c r="H39" s="24">
        <v>0.19631901840490701</v>
      </c>
      <c r="I39" s="24">
        <v>0.269211748665449</v>
      </c>
      <c r="J39" s="24">
        <v>0.89146644573322198</v>
      </c>
      <c r="K39" s="24">
        <v>0.32</v>
      </c>
      <c r="L39" s="24">
        <v>0.336842105263157</v>
      </c>
    </row>
    <row r="40" spans="3:12" x14ac:dyDescent="0.25">
      <c r="C40" s="29">
        <v>25</v>
      </c>
      <c r="D40" s="29">
        <v>1312</v>
      </c>
      <c r="E40" s="29">
        <v>109</v>
      </c>
      <c r="F40" s="29">
        <v>9</v>
      </c>
      <c r="G40" s="29">
        <v>25</v>
      </c>
      <c r="H40" s="24">
        <v>0.17482517482517401</v>
      </c>
      <c r="I40" s="24">
        <v>0.270422559151481</v>
      </c>
      <c r="J40" s="24">
        <v>0.91890034364261097</v>
      </c>
      <c r="K40" s="24">
        <v>0.18656716417910399</v>
      </c>
      <c r="L40" s="24">
        <v>0.73529411764705799</v>
      </c>
    </row>
    <row r="41" spans="3:12" x14ac:dyDescent="0.25">
      <c r="C41" s="28">
        <v>27</v>
      </c>
      <c r="D41" s="29">
        <v>452</v>
      </c>
      <c r="E41" s="29">
        <v>2</v>
      </c>
      <c r="F41" s="29">
        <v>372</v>
      </c>
      <c r="G41" s="29">
        <v>82</v>
      </c>
      <c r="H41" s="24">
        <v>0.179824561403508</v>
      </c>
      <c r="I41" s="24">
        <v>0.17621145374449301</v>
      </c>
      <c r="J41" s="24">
        <v>0.58810572687224605</v>
      </c>
      <c r="K41" s="24">
        <v>0.97619047619047605</v>
      </c>
      <c r="L41" s="24">
        <v>0.18061674008810499</v>
      </c>
    </row>
    <row r="42" spans="3:12" x14ac:dyDescent="0.25">
      <c r="C42" s="2">
        <v>28</v>
      </c>
      <c r="D42" s="2">
        <v>1056</v>
      </c>
      <c r="E42" s="2">
        <v>26</v>
      </c>
      <c r="F42" s="2">
        <v>19</v>
      </c>
      <c r="G42" s="2">
        <v>33</v>
      </c>
      <c r="H42" s="7">
        <v>0.42307692307692302</v>
      </c>
      <c r="I42" s="7">
        <v>0.57381950592126196</v>
      </c>
      <c r="J42" s="7">
        <v>0.96031746031746001</v>
      </c>
      <c r="K42" s="7">
        <v>0.55932203389830504</v>
      </c>
      <c r="L42" s="7">
        <v>0.63461538461538403</v>
      </c>
    </row>
    <row r="43" spans="3:12" x14ac:dyDescent="0.25">
      <c r="C43" s="3" t="s">
        <v>11</v>
      </c>
      <c r="D43" s="3">
        <f t="shared" ref="D43:L43" si="3">AVERAGE(D35:D42)</f>
        <v>1105.125</v>
      </c>
      <c r="E43" s="3">
        <f t="shared" si="3"/>
        <v>45.25</v>
      </c>
      <c r="F43" s="3">
        <f t="shared" si="3"/>
        <v>86.875</v>
      </c>
      <c r="G43" s="3">
        <f t="shared" si="3"/>
        <v>44</v>
      </c>
      <c r="H43" s="3">
        <f t="shared" si="3"/>
        <v>0.28088347107102341</v>
      </c>
      <c r="I43" s="3">
        <f t="shared" si="3"/>
        <v>0.38382537689158192</v>
      </c>
      <c r="J43" s="3">
        <f t="shared" si="3"/>
        <v>0.88498558399451488</v>
      </c>
      <c r="K43" s="3">
        <f t="shared" si="3"/>
        <v>0.53724119419364591</v>
      </c>
      <c r="L43" s="3">
        <f t="shared" si="3"/>
        <v>0.47877481809413791</v>
      </c>
    </row>
  </sheetData>
  <pageMargins left="0.7" right="0.7" top="0.75" bottom="0.75" header="0.3" footer="0.3"/>
  <tableParts count="3">
    <tablePart r:id="rId1"/>
    <tablePart r:id="rId2"/>
    <tablePart r:id="rId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2015 data</vt:lpstr>
      <vt:lpstr>2014 data</vt:lpstr>
      <vt:lpstr>LLM vs. Human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Alsulmi</dc:creator>
  <cp:lastModifiedBy>Mohammad Alsulmi</cp:lastModifiedBy>
  <dcterms:created xsi:type="dcterms:W3CDTF">2026-09-09T13:15:47Z</dcterms:created>
  <dcterms:modified xsi:type="dcterms:W3CDTF">2026-09-19T07:49:27Z</dcterms:modified>
</cp:coreProperties>
</file>